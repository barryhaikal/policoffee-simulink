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SI\Downloads\IT_project\"/>
    </mc:Choice>
  </mc:AlternateContent>
  <xr:revisionPtr revIDLastSave="0" documentId="13_ncr:1_{F56711AE-17C3-43B6-BD7C-E8399E596B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s" sheetId="1" r:id="rId1"/>
    <sheet name="Solutions" sheetId="6" r:id="rId2"/>
    <sheet name="Setup" sheetId="10" r:id="rId3"/>
    <sheet name="Current process" sheetId="9" r:id="rId4"/>
    <sheet name="Quality &amp; availability" sheetId="8" r:id="rId5"/>
    <sheet name="Demand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0" l="1"/>
  <c r="K15" i="10"/>
  <c r="L15" i="10"/>
  <c r="M15" i="10"/>
  <c r="I15" i="10"/>
  <c r="I8" i="3"/>
  <c r="C24" i="1"/>
  <c r="H8" i="3"/>
  <c r="G8" i="3"/>
  <c r="F8" i="3"/>
  <c r="E8" i="3"/>
  <c r="D8" i="3"/>
  <c r="C8" i="3"/>
  <c r="G24" i="1" l="1"/>
  <c r="F24" i="1"/>
  <c r="E24" i="1"/>
  <c r="D24" i="1"/>
</calcChain>
</file>

<file path=xl/sharedStrings.xml><?xml version="1.0" encoding="utf-8"?>
<sst xmlns="http://schemas.openxmlformats.org/spreadsheetml/2006/main" count="498" uniqueCount="204">
  <si>
    <t>Product - processing times (minutes/piece)</t>
  </si>
  <si>
    <t>Assembly time variability</t>
  </si>
  <si>
    <t>ID</t>
  </si>
  <si>
    <t>PHASE</t>
  </si>
  <si>
    <t>PC10</t>
  </si>
  <si>
    <t>PC20</t>
  </si>
  <si>
    <t>PC11</t>
  </si>
  <si>
    <t>PC21</t>
  </si>
  <si>
    <t>PC35</t>
  </si>
  <si>
    <t>CV</t>
  </si>
  <si>
    <t>CHASSIS ASSEMBLY, MAIN CHASSIS</t>
  </si>
  <si>
    <t>CHASSIS ASSEMBLY, GROUP HEAD</t>
  </si>
  <si>
    <t>ELECTRICAL BOX ASSEMBLY</t>
  </si>
  <si>
    <t>ASSEMBLY BOILER SMALL</t>
  </si>
  <si>
    <t>ASSEMBLY BOILER LARGE</t>
  </si>
  <si>
    <t>ADDITIONAL BOILER ASSEMBLY</t>
  </si>
  <si>
    <t>ELECTROVALVE ASSEMBLY</t>
  </si>
  <si>
    <t>ADDITIONAL VALVES ASSEMBLY</t>
  </si>
  <si>
    <t>HYDRAULICS TESTING</t>
  </si>
  <si>
    <t>DISPLAY</t>
  </si>
  <si>
    <t>CPU ASSEMBLY</t>
  </si>
  <si>
    <t>ELECTRONICS TESTING</t>
  </si>
  <si>
    <t>FILTER HOLDERS, SIMPLE</t>
  </si>
  <si>
    <t>FILTER HOLDERS, IMPROVED</t>
  </si>
  <si>
    <t>FILTER HOLDERS, NEXT GENERATION</t>
  </si>
  <si>
    <t>STEAMER</t>
  </si>
  <si>
    <t>GAUGES</t>
  </si>
  <si>
    <t>SMART GAUGES</t>
  </si>
  <si>
    <t>MACHINE TESTING</t>
  </si>
  <si>
    <t>PAINTING &amp; BODYWORK</t>
  </si>
  <si>
    <t>PACKAGING</t>
  </si>
  <si>
    <t>Precedence graph</t>
  </si>
  <si>
    <t>PREDECESSORS</t>
  </si>
  <si>
    <t>CHASSIS ASSEMBLY, GROUP HEAD, LARGE</t>
  </si>
  <si>
    <t>ELECTRIC BOX ASSEMBLY</t>
  </si>
  <si>
    <t>1, 2</t>
  </si>
  <si>
    <t>4, 5</t>
  </si>
  <si>
    <t>3, 7</t>
  </si>
  <si>
    <t>12, 13</t>
  </si>
  <si>
    <t>(extant case - setup at each station of the assembly shop)</t>
  </si>
  <si>
    <t>Product change over - SHOPS - setuptimes (minutes/setup)</t>
  </si>
  <si>
    <t>Product change over - line -setuptimes (minutes/setup)</t>
  </si>
  <si>
    <t>Current process</t>
  </si>
  <si>
    <t>Phase</t>
  </si>
  <si>
    <t>Activity</t>
  </si>
  <si>
    <t>Department</t>
  </si>
  <si>
    <t>Chassis assembly, main chassis</t>
  </si>
  <si>
    <t>Chassis assembly</t>
  </si>
  <si>
    <t>Chassis assembly, group head</t>
  </si>
  <si>
    <t>Electrical box assembly</t>
  </si>
  <si>
    <t>Assembly boiler small</t>
  </si>
  <si>
    <t>Boiler assembly</t>
  </si>
  <si>
    <t>Assembly boiler large</t>
  </si>
  <si>
    <t>Additional boiler assembly</t>
  </si>
  <si>
    <t>Electrovalve assembly</t>
  </si>
  <si>
    <t>Valves assembly</t>
  </si>
  <si>
    <t>Additional valves assembly</t>
  </si>
  <si>
    <t>Hydraulics testing</t>
  </si>
  <si>
    <t>Testing</t>
  </si>
  <si>
    <t>Display</t>
  </si>
  <si>
    <t>Electronics assembly</t>
  </si>
  <si>
    <t>CPU assembly</t>
  </si>
  <si>
    <t>Electronics testing</t>
  </si>
  <si>
    <t>Filter holders, simple</t>
  </si>
  <si>
    <t>Components assembly</t>
  </si>
  <si>
    <t>Filter holders, improved</t>
  </si>
  <si>
    <t>Filter holders, next generation</t>
  </si>
  <si>
    <t>Steamer</t>
  </si>
  <si>
    <t>Gauges</t>
  </si>
  <si>
    <t>Smart gauges</t>
  </si>
  <si>
    <t>Machine testing</t>
  </si>
  <si>
    <t>Painting &amp; bodywork</t>
  </si>
  <si>
    <t>Packaging</t>
  </si>
  <si>
    <t>Available resources</t>
  </si>
  <si>
    <t>Activities description</t>
  </si>
  <si>
    <t>Resources</t>
  </si>
  <si>
    <t>Assigned operators</t>
  </si>
  <si>
    <t>3 manual assembly stations</t>
  </si>
  <si>
    <t>2 automated machines, requiring an operator for loading</t>
  </si>
  <si>
    <t>2 manual assembly stations</t>
  </si>
  <si>
    <t>1 automated station for hydraulics testing, requiring an operator to be loaded. 1  automated station for electronics testing, requiring an operator to be loaded. 1  automated station for complete machine testing, requiring an operator to be loaded.</t>
  </si>
  <si>
    <t>1 manual assembly station for filters and steamers, 1 manual assembly station for gauges</t>
  </si>
  <si>
    <t>2 painting machine requiring an operator each for supervision</t>
  </si>
  <si>
    <t>1 manual packaging stations</t>
  </si>
  <si>
    <t>Resource availability</t>
  </si>
  <si>
    <t>Resource</t>
  </si>
  <si>
    <t>MTBF [min]</t>
  </si>
  <si>
    <t>MTTR [min]</t>
  </si>
  <si>
    <t>Electrical box assembly machine</t>
  </si>
  <si>
    <t>Painting machine</t>
  </si>
  <si>
    <t>Quality control results</t>
  </si>
  <si>
    <t>Reworks</t>
  </si>
  <si>
    <t>Scraps</t>
  </si>
  <si>
    <t>Machine final testing</t>
  </si>
  <si>
    <t>Orders</t>
  </si>
  <si>
    <t>Demand forecasts</t>
  </si>
  <si>
    <t>Year</t>
  </si>
  <si>
    <t>Volumes</t>
  </si>
  <si>
    <t>Total</t>
  </si>
  <si>
    <t>Equipments &amp; robotics solutions</t>
  </si>
  <si>
    <t>Proposed Solution</t>
  </si>
  <si>
    <t>Type</t>
  </si>
  <si>
    <t xml:space="preserve">Department/phase </t>
  </si>
  <si>
    <t>Operation</t>
  </si>
  <si>
    <t>Expected impact/performance</t>
  </si>
  <si>
    <t>Space Requirements</t>
  </si>
  <si>
    <t>Investment</t>
  </si>
  <si>
    <t xml:space="preserve">Implementation Time </t>
  </si>
  <si>
    <t>Risk Level</t>
  </si>
  <si>
    <t>Automated pressure regulation tool</t>
  </si>
  <si>
    <t>Improvement for manual workstation</t>
  </si>
  <si>
    <t>Boiler Assembly</t>
  </si>
  <si>
    <t>Assembly time -5%</t>
  </si>
  <si>
    <t>4m²</t>
  </si>
  <si>
    <t>2 months</t>
  </si>
  <si>
    <t>Low</t>
  </si>
  <si>
    <t>Large boiler insertion robot</t>
  </si>
  <si>
    <t>Fully automated cell</t>
  </si>
  <si>
    <t>Cycle time -15%</t>
  </si>
  <si>
    <t>10m²</t>
  </si>
  <si>
    <t>4 months</t>
  </si>
  <si>
    <t>Medium</t>
  </si>
  <si>
    <t>Small boiler insertion robot</t>
  </si>
  <si>
    <t>Cycle time -20%</t>
  </si>
  <si>
    <t>8m²</t>
  </si>
  <si>
    <t>3.5 months</t>
  </si>
  <si>
    <t>Vision-guided robot for main boiler insertion</t>
  </si>
  <si>
    <t>Assembly boiler (any)</t>
  </si>
  <si>
    <t>Cycle time -35%</t>
  </si>
  <si>
    <t>Workbench</t>
  </si>
  <si>
    <t>Manual workstation</t>
  </si>
  <si>
    <t/>
  </si>
  <si>
    <t>1 month</t>
  </si>
  <si>
    <t>Collaborative robot with force feedback for main chassis</t>
  </si>
  <si>
    <t>Chassis Assembly</t>
  </si>
  <si>
    <t>Assembly time -20%</t>
  </si>
  <si>
    <t>2m²</t>
  </si>
  <si>
    <t>3 months</t>
  </si>
  <si>
    <t>Group head precision assembly cell</t>
  </si>
  <si>
    <t>Assembly time -30%</t>
  </si>
  <si>
    <t>Smart fixtures with automatic clamping</t>
  </si>
  <si>
    <t>Assembly time variability -50%</t>
  </si>
  <si>
    <t>1.5 months</t>
  </si>
  <si>
    <t>Precision electric screwdrivers with torque monitoring</t>
  </si>
  <si>
    <t>Assembly time -5%, assembly time variability -20%</t>
  </si>
  <si>
    <t>1m²</t>
  </si>
  <si>
    <t>Collaborative robot</t>
  </si>
  <si>
    <t>Additional assembly station</t>
  </si>
  <si>
    <t>-</t>
  </si>
  <si>
    <t>Automated CPU burn-in testing</t>
  </si>
  <si>
    <t>Improvement for testing station</t>
  </si>
  <si>
    <t>Cpu assembly</t>
  </si>
  <si>
    <t>Test time (electronics testing) -20%</t>
  </si>
  <si>
    <t>Display mounting assist system</t>
  </si>
  <si>
    <t>Assembly time -25%</t>
  </si>
  <si>
    <t>Automated packaging system</t>
  </si>
  <si>
    <t>18m²</t>
  </si>
  <si>
    <t>Twin-arm painting robot with quick-change paint</t>
  </si>
  <si>
    <t>Cycle time -45%</t>
  </si>
  <si>
    <t>Traditional painting machine</t>
  </si>
  <si>
    <t>Automated parallel multi-machine hydraulics testing cell</t>
  </si>
  <si>
    <t>Automated test line</t>
  </si>
  <si>
    <t>Test time -50%</t>
  </si>
  <si>
    <t>5 months</t>
  </si>
  <si>
    <t>Enhanced machine testing station</t>
  </si>
  <si>
    <t>Automated test cell</t>
  </si>
  <si>
    <t>Test time -20%</t>
  </si>
  <si>
    <t>Machine testing station</t>
  </si>
  <si>
    <t>12m²</t>
  </si>
  <si>
    <t>4.5 months</t>
  </si>
  <si>
    <t>High</t>
  </si>
  <si>
    <t>Electronics testing station</t>
  </si>
  <si>
    <t>Automated packaging system with vision check</t>
  </si>
  <si>
    <t>Line configuration</t>
  </si>
  <si>
    <t>New department</t>
  </si>
  <si>
    <t>From chassis to additional valve assembly</t>
  </si>
  <si>
    <t>Total assembly work content -10%, uniformly distributed</t>
  </si>
  <si>
    <t>Savings to be estimated after relayout</t>
  </si>
  <si>
    <t>Technology solutions</t>
  </si>
  <si>
    <t>Proposed Solution Type</t>
  </si>
  <si>
    <t>Expected impact</t>
  </si>
  <si>
    <t>Implementation Time</t>
  </si>
  <si>
    <t>CPU Testing Intelligence</t>
  </si>
  <si>
    <t>Rework rate -45%, Assembly time -15% (from 31.2-37.7 min)</t>
  </si>
  <si>
    <t>2.5 months</t>
  </si>
  <si>
    <t>Integrated 3D scanner</t>
  </si>
  <si>
    <t>Cycle time -30%</t>
  </si>
  <si>
    <t>Smart sensors for condition-based maintenance</t>
  </si>
  <si>
    <t>MTBF +20%, MTTR -5%</t>
  </si>
  <si>
    <t>Predictive maintenance solution</t>
  </si>
  <si>
    <t>MTBF +30%, MTTR -15%</t>
  </si>
  <si>
    <t>AR-based assembly assistant</t>
  </si>
  <si>
    <t xml:space="preserve">Assembly time -10%, quality defects -20%, </t>
  </si>
  <si>
    <t>AI-optimized testing routines</t>
  </si>
  <si>
    <t>Computer vision real-time quality control</t>
  </si>
  <si>
    <t>Reworks -60%, scraps -30%</t>
  </si>
  <si>
    <t>MTBF +11%, MTTR -7%</t>
  </si>
  <si>
    <t>MTBF +26%, MTTR -9%</t>
  </si>
  <si>
    <t>(pieces/year)</t>
  </si>
  <si>
    <t>Integration of extant stations by a conveyor system to form a buffered line (PC11/21)</t>
  </si>
  <si>
    <t>Integration of extant stations by a conveyor system to form a buffered line (PC11/21+PC35)</t>
  </si>
  <si>
    <t>Demand per year</t>
  </si>
  <si>
    <t>(in percentages)</t>
  </si>
  <si>
    <t xml:space="preserve"> Workbench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</si>
</sst>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;[Red]\-#,##0\ &quot;€&quot;"/>
    <numFmt numFmtId="165" formatCode="_-* #,##0.00\ &quot;€&quot;_-;\-* #,##0.0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65" fontId="0" fillId="0" borderId="0" xfId="1" applyFon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3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4" xfId="0" applyFont="1" applyBorder="1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0" fillId="2" borderId="4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5" fontId="0" fillId="0" borderId="0" xfId="1" applyFont="1" applyAlignment="1">
      <alignment horizontal="right"/>
    </xf>
    <xf numFmtId="165" fontId="0" fillId="0" borderId="0" xfId="1" applyFont="1" applyAlignme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8" xfId="0" applyFont="1" applyBorder="1"/>
    <xf numFmtId="0" fontId="2" fillId="0" borderId="2" xfId="0" applyFont="1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0" xfId="0" applyBorder="1"/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4" fillId="0" borderId="11" xfId="0" applyFont="1" applyBorder="1"/>
    <xf numFmtId="0" fontId="0" fillId="0" borderId="11" xfId="0" applyBorder="1" applyAlignment="1">
      <alignment horizontal="left"/>
    </xf>
    <xf numFmtId="0" fontId="6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/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4" fillId="3" borderId="0" xfId="0" applyFont="1" applyFill="1"/>
    <xf numFmtId="0" fontId="0" fillId="0" borderId="0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4" xfId="0" applyBorder="1" applyAlignment="1">
      <alignment horizontal="center"/>
    </xf>
  </cellXfs>
  <cellStyles count="2">
    <cellStyle name="Currency" xfId="1" builtinId="4"/>
    <cellStyle name="Normal" xfId="0" builtinId="0"/>
  </cellStyles>
  <dxfs count="2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5294</xdr:colOff>
      <xdr:row>24</xdr:row>
      <xdr:rowOff>17009</xdr:rowOff>
    </xdr:from>
    <xdr:to>
      <xdr:col>6</xdr:col>
      <xdr:colOff>768273</xdr:colOff>
      <xdr:row>37</xdr:row>
      <xdr:rowOff>6016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37DF04-9831-3213-C0B4-5E64480C5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319" y="4589009"/>
          <a:ext cx="7078054" cy="24655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7791</xdr:colOff>
      <xdr:row>1</xdr:row>
      <xdr:rowOff>19049</xdr:rowOff>
    </xdr:from>
    <xdr:to>
      <xdr:col>13</xdr:col>
      <xdr:colOff>457200</xdr:colOff>
      <xdr:row>33</xdr:row>
      <xdr:rowOff>6725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183739-D5E8-EF7B-A71A-47C3558AE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0299" y="212778"/>
          <a:ext cx="5305545" cy="59674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CCB34-FFF7-463A-AF20-543955082704}" name="Table1" displayName="Table1" ref="A2:I29" totalsRowShown="0">
  <autoFilter ref="A2:I29" xr:uid="{573CCB34-FFF7-463A-AF20-543955082704}"/>
  <sortState xmlns:xlrd2="http://schemas.microsoft.com/office/spreadsheetml/2017/richdata2" ref="A3:I27">
    <sortCondition ref="C2:C27"/>
  </sortState>
  <tableColumns count="9">
    <tableColumn id="1" xr3:uid="{7908A8B2-2423-4147-822A-A81EE23B7402}" name="Proposed Solution"/>
    <tableColumn id="3" xr3:uid="{1F425B3F-6031-4B5B-984D-F4E88F88D3EE}" name="Type"/>
    <tableColumn id="2" xr3:uid="{380D6982-3A34-49D9-A16C-6BEC430E5BAE}" name="Department/phase "/>
    <tableColumn id="4" xr3:uid="{4B35046A-4A79-4468-B25D-83DB432B85F8}" name="Operation"/>
    <tableColumn id="5" xr3:uid="{D5019CAA-9571-4081-A012-513408D32E9A}" name="Expected impact/performance"/>
    <tableColumn id="7" xr3:uid="{B7A7FDE6-14D2-4997-AA31-BB904C65F20A}" name="Space Requirements"/>
    <tableColumn id="8" xr3:uid="{40BDD9CA-572C-4C11-9489-A0E2E73E60DC}" name="Investment" dataDxfId="1"/>
    <tableColumn id="9" xr3:uid="{DF531BFF-7B19-48EB-B93B-94E36C76CB78}" name="Implementation Time " dataDxfId="0"/>
    <tableColumn id="10" xr3:uid="{FA6E37BE-C200-41C7-B8CA-516FF81D23CF}" name="Risk Leve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9C4DA6-58F1-4208-9D36-8BEEE2F6C320}" name="Table24" displayName="Table24" ref="A34:G46" totalsRowShown="0">
  <autoFilter ref="A34:G46" xr:uid="{799C4DA6-58F1-4208-9D36-8BEEE2F6C320}"/>
  <tableColumns count="7">
    <tableColumn id="1" xr3:uid="{0AD0371B-5AE5-4D8C-A7E9-A7F0CC785D03}" name="Proposed Solution Type"/>
    <tableColumn id="2" xr3:uid="{A71664FF-BE8C-4187-8322-00E3213898EC}" name="Department/phase "/>
    <tableColumn id="3" xr3:uid="{E770A255-06E3-4576-AE9C-4A43EBFD6D32}" name="Operation"/>
    <tableColumn id="4" xr3:uid="{343AE237-BAC6-416F-8DC5-2B7EAECF9DDF}" name="Expected impact"/>
    <tableColumn id="6" xr3:uid="{F871D9C0-007B-434C-961E-DF6432AC1235}" name="Investment"/>
    <tableColumn id="7" xr3:uid="{D661D398-C6CC-4933-9280-C6CE232280C8}" name="Implementation Time"/>
    <tableColumn id="8" xr3:uid="{0E345CF3-302E-40C6-9E9A-AFAC0F245B1C}" name="Risk Leve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2"/>
  <sheetViews>
    <sheetView zoomScale="106" zoomScaleNormal="106" workbookViewId="0">
      <selection activeCell="C13" sqref="C13"/>
    </sheetView>
  </sheetViews>
  <sheetFormatPr defaultColWidth="8.77734375" defaultRowHeight="14.4" x14ac:dyDescent="0.3"/>
  <cols>
    <col min="1" max="1" width="3" style="4" bestFit="1" customWidth="1"/>
    <col min="2" max="2" width="42.109375" bestFit="1" customWidth="1"/>
    <col min="3" max="3" width="14.44140625" bestFit="1" customWidth="1"/>
    <col min="4" max="7" width="12.77734375" customWidth="1"/>
    <col min="8" max="8" width="23.77734375" bestFit="1" customWidth="1"/>
  </cols>
  <sheetData>
    <row r="1" spans="1:9" x14ac:dyDescent="0.3">
      <c r="A1" s="20"/>
      <c r="B1" s="21"/>
      <c r="C1" s="58" t="s">
        <v>0</v>
      </c>
      <c r="D1" s="58"/>
      <c r="E1" s="58"/>
      <c r="F1" s="58"/>
      <c r="G1" s="58"/>
      <c r="H1" s="20" t="s">
        <v>1</v>
      </c>
    </row>
    <row r="2" spans="1:9" x14ac:dyDescent="0.3">
      <c r="A2" s="40" t="s">
        <v>2</v>
      </c>
      <c r="B2" s="41" t="s">
        <v>3</v>
      </c>
      <c r="C2" s="41" t="s">
        <v>4</v>
      </c>
      <c r="D2" s="41" t="s">
        <v>5</v>
      </c>
      <c r="E2" s="41" t="s">
        <v>6</v>
      </c>
      <c r="F2" s="41" t="s">
        <v>7</v>
      </c>
      <c r="G2" s="41" t="s">
        <v>8</v>
      </c>
      <c r="H2" s="41" t="s">
        <v>9</v>
      </c>
      <c r="I2" s="47"/>
    </row>
    <row r="3" spans="1:9" x14ac:dyDescent="0.3">
      <c r="A3" s="42">
        <v>1</v>
      </c>
      <c r="B3" s="43" t="s">
        <v>10</v>
      </c>
      <c r="C3" s="44">
        <v>29.700000000000003</v>
      </c>
      <c r="D3" s="44">
        <v>31.200000000000003</v>
      </c>
      <c r="E3" s="44">
        <v>29.700000000000003</v>
      </c>
      <c r="F3" s="44">
        <v>31.200000000000003</v>
      </c>
      <c r="G3" s="44">
        <v>34.4</v>
      </c>
      <c r="H3" s="44">
        <v>0.8</v>
      </c>
    </row>
    <row r="4" spans="1:9" x14ac:dyDescent="0.3">
      <c r="A4" s="42">
        <v>2</v>
      </c>
      <c r="B4" s="43" t="s">
        <v>11</v>
      </c>
      <c r="C4" s="44">
        <v>14.7</v>
      </c>
      <c r="D4" s="44">
        <v>14.7</v>
      </c>
      <c r="E4" s="44">
        <v>17.600000000000005</v>
      </c>
      <c r="F4" s="44">
        <v>17.600000000000005</v>
      </c>
      <c r="G4" s="44">
        <v>17.600000000000005</v>
      </c>
      <c r="H4" s="44">
        <v>0.8</v>
      </c>
    </row>
    <row r="5" spans="1:9" x14ac:dyDescent="0.3">
      <c r="A5" s="42">
        <v>3</v>
      </c>
      <c r="B5" s="43" t="s">
        <v>12</v>
      </c>
      <c r="C5" s="44">
        <v>32</v>
      </c>
      <c r="D5" s="44">
        <v>32</v>
      </c>
      <c r="E5" s="44">
        <v>32</v>
      </c>
      <c r="F5" s="44">
        <v>32</v>
      </c>
      <c r="G5" s="44">
        <v>32</v>
      </c>
      <c r="H5" s="44">
        <v>0</v>
      </c>
    </row>
    <row r="6" spans="1:9" x14ac:dyDescent="0.3">
      <c r="A6" s="57">
        <v>4</v>
      </c>
      <c r="B6" s="43" t="s">
        <v>13</v>
      </c>
      <c r="C6" s="44">
        <v>20.400000000000002</v>
      </c>
      <c r="D6" s="44">
        <v>0</v>
      </c>
      <c r="E6" s="44">
        <v>20.400000000000002</v>
      </c>
      <c r="F6" s="44">
        <v>0</v>
      </c>
      <c r="G6" s="44">
        <v>0</v>
      </c>
      <c r="H6" s="44">
        <v>1</v>
      </c>
    </row>
    <row r="7" spans="1:9" x14ac:dyDescent="0.3">
      <c r="A7" s="57"/>
      <c r="B7" s="43" t="s">
        <v>14</v>
      </c>
      <c r="C7" s="44">
        <v>0</v>
      </c>
      <c r="D7" s="44">
        <v>28.200000000000003</v>
      </c>
      <c r="E7" s="44">
        <v>0</v>
      </c>
      <c r="F7" s="44">
        <v>28.200000000000003</v>
      </c>
      <c r="G7" s="44">
        <v>28.200000000000003</v>
      </c>
      <c r="H7" s="44">
        <v>1</v>
      </c>
    </row>
    <row r="8" spans="1:9" x14ac:dyDescent="0.3">
      <c r="A8" s="42">
        <v>5</v>
      </c>
      <c r="B8" s="43" t="s">
        <v>15</v>
      </c>
      <c r="C8" s="44">
        <v>19.899999999999999</v>
      </c>
      <c r="D8" s="44">
        <v>19.899999999999999</v>
      </c>
      <c r="E8" s="44">
        <v>19.899999999999999</v>
      </c>
      <c r="F8" s="44">
        <v>19.899999999999999</v>
      </c>
      <c r="G8" s="44">
        <v>19.899999999999999</v>
      </c>
      <c r="H8" s="44">
        <v>1</v>
      </c>
    </row>
    <row r="9" spans="1:9" x14ac:dyDescent="0.3">
      <c r="A9" s="42">
        <v>6</v>
      </c>
      <c r="B9" s="43" t="s">
        <v>16</v>
      </c>
      <c r="C9" s="44">
        <v>40.300000000000004</v>
      </c>
      <c r="D9" s="44">
        <v>41.6</v>
      </c>
      <c r="E9" s="44">
        <v>39</v>
      </c>
      <c r="F9" s="44">
        <v>44.20000000000001</v>
      </c>
      <c r="G9" s="44">
        <v>52</v>
      </c>
      <c r="H9" s="44">
        <v>0.75</v>
      </c>
    </row>
    <row r="10" spans="1:9" x14ac:dyDescent="0.3">
      <c r="A10" s="42">
        <v>7</v>
      </c>
      <c r="B10" s="43" t="s">
        <v>17</v>
      </c>
      <c r="C10" s="44">
        <v>0</v>
      </c>
      <c r="D10" s="44">
        <v>0</v>
      </c>
      <c r="E10" s="44">
        <v>27.3</v>
      </c>
      <c r="F10" s="44">
        <v>27.3</v>
      </c>
      <c r="G10" s="44">
        <v>0</v>
      </c>
      <c r="H10" s="44">
        <v>0.75</v>
      </c>
    </row>
    <row r="11" spans="1:9" x14ac:dyDescent="0.3">
      <c r="A11" s="42">
        <v>8</v>
      </c>
      <c r="B11" s="43" t="s">
        <v>18</v>
      </c>
      <c r="C11" s="44">
        <v>18</v>
      </c>
      <c r="D11" s="44">
        <v>18</v>
      </c>
      <c r="E11" s="44">
        <v>18</v>
      </c>
      <c r="F11" s="44">
        <v>18</v>
      </c>
      <c r="G11" s="44">
        <v>18</v>
      </c>
      <c r="H11" s="44">
        <v>0</v>
      </c>
    </row>
    <row r="12" spans="1:9" x14ac:dyDescent="0.3">
      <c r="A12" s="42">
        <v>9</v>
      </c>
      <c r="B12" s="43" t="s">
        <v>19</v>
      </c>
      <c r="C12" s="44">
        <v>10.4</v>
      </c>
      <c r="D12" s="44">
        <v>10.4</v>
      </c>
      <c r="E12" s="44">
        <v>12.1</v>
      </c>
      <c r="F12" s="44">
        <v>12.1</v>
      </c>
      <c r="G12" s="44">
        <v>12.1</v>
      </c>
      <c r="H12" s="44">
        <v>0.55000000000000004</v>
      </c>
    </row>
    <row r="13" spans="1:9" x14ac:dyDescent="0.3">
      <c r="A13" s="42">
        <v>10</v>
      </c>
      <c r="B13" s="43" t="s">
        <v>20</v>
      </c>
      <c r="C13" s="44">
        <v>20.8</v>
      </c>
      <c r="D13" s="44">
        <v>25.100000000000005</v>
      </c>
      <c r="E13" s="44">
        <v>20.8</v>
      </c>
      <c r="F13" s="44">
        <v>25.100000000000005</v>
      </c>
      <c r="G13" s="44">
        <v>20.8</v>
      </c>
      <c r="H13" s="44">
        <v>0.55000000000000004</v>
      </c>
    </row>
    <row r="14" spans="1:9" x14ac:dyDescent="0.3">
      <c r="A14" s="42">
        <v>11</v>
      </c>
      <c r="B14" s="43" t="s">
        <v>21</v>
      </c>
      <c r="C14" s="44">
        <v>6.5</v>
      </c>
      <c r="D14" s="44">
        <v>6.5</v>
      </c>
      <c r="E14" s="44">
        <v>10.4</v>
      </c>
      <c r="F14" s="44">
        <v>10.4</v>
      </c>
      <c r="G14" s="44">
        <v>10.4</v>
      </c>
      <c r="H14" s="44">
        <v>0.4</v>
      </c>
    </row>
    <row r="15" spans="1:9" x14ac:dyDescent="0.3">
      <c r="A15" s="57">
        <v>12</v>
      </c>
      <c r="B15" s="43" t="s">
        <v>22</v>
      </c>
      <c r="C15" s="44">
        <v>11.700000000000001</v>
      </c>
      <c r="D15" s="44">
        <v>14.300000000000002</v>
      </c>
      <c r="E15" s="44">
        <v>0</v>
      </c>
      <c r="F15" s="44">
        <v>0</v>
      </c>
      <c r="G15" s="44">
        <v>0</v>
      </c>
      <c r="H15" s="44">
        <v>0.3</v>
      </c>
    </row>
    <row r="16" spans="1:9" x14ac:dyDescent="0.3">
      <c r="A16" s="57"/>
      <c r="B16" s="43" t="s">
        <v>23</v>
      </c>
      <c r="C16" s="44">
        <v>0</v>
      </c>
      <c r="D16" s="44">
        <v>0</v>
      </c>
      <c r="E16" s="44">
        <v>7.8000000000000007</v>
      </c>
      <c r="F16" s="44">
        <v>9.1</v>
      </c>
      <c r="G16" s="44">
        <v>0</v>
      </c>
      <c r="H16" s="44">
        <v>0.3</v>
      </c>
    </row>
    <row r="17" spans="1:8" x14ac:dyDescent="0.3">
      <c r="A17" s="57"/>
      <c r="B17" s="43" t="s">
        <v>24</v>
      </c>
      <c r="C17" s="44">
        <v>0</v>
      </c>
      <c r="D17" s="44">
        <v>0</v>
      </c>
      <c r="E17" s="44">
        <v>0</v>
      </c>
      <c r="F17" s="44">
        <v>0</v>
      </c>
      <c r="G17" s="44">
        <v>18.2</v>
      </c>
      <c r="H17" s="44">
        <v>0.3</v>
      </c>
    </row>
    <row r="18" spans="1:8" x14ac:dyDescent="0.3">
      <c r="A18" s="57"/>
      <c r="B18" s="43" t="s">
        <v>25</v>
      </c>
      <c r="C18" s="44">
        <v>0</v>
      </c>
      <c r="D18" s="44">
        <v>13</v>
      </c>
      <c r="E18" s="44">
        <v>13</v>
      </c>
      <c r="F18" s="44">
        <v>13</v>
      </c>
      <c r="G18" s="44">
        <v>11.700000000000001</v>
      </c>
      <c r="H18" s="44">
        <v>0.3</v>
      </c>
    </row>
    <row r="19" spans="1:8" x14ac:dyDescent="0.3">
      <c r="A19" s="57">
        <v>13</v>
      </c>
      <c r="B19" s="43" t="s">
        <v>26</v>
      </c>
      <c r="C19" s="44">
        <v>14.300000000000002</v>
      </c>
      <c r="D19" s="44">
        <v>13</v>
      </c>
      <c r="E19" s="44">
        <v>0</v>
      </c>
      <c r="F19" s="44">
        <v>0</v>
      </c>
      <c r="G19" s="44">
        <v>0</v>
      </c>
      <c r="H19" s="44">
        <v>0.3</v>
      </c>
    </row>
    <row r="20" spans="1:8" x14ac:dyDescent="0.3">
      <c r="A20" s="57"/>
      <c r="B20" s="43" t="s">
        <v>27</v>
      </c>
      <c r="C20" s="44">
        <v>0</v>
      </c>
      <c r="D20" s="44">
        <v>0</v>
      </c>
      <c r="E20" s="44">
        <v>19.5</v>
      </c>
      <c r="F20" s="44">
        <v>22.100000000000005</v>
      </c>
      <c r="G20" s="44">
        <v>22.100000000000005</v>
      </c>
      <c r="H20" s="44">
        <v>0.3</v>
      </c>
    </row>
    <row r="21" spans="1:8" x14ac:dyDescent="0.3">
      <c r="A21" s="42">
        <v>14</v>
      </c>
      <c r="B21" s="43" t="s">
        <v>28</v>
      </c>
      <c r="C21" s="44">
        <v>18.2</v>
      </c>
      <c r="D21" s="44">
        <v>18.2</v>
      </c>
      <c r="E21" s="44">
        <v>13</v>
      </c>
      <c r="F21" s="44">
        <v>13</v>
      </c>
      <c r="G21" s="44">
        <v>20.8</v>
      </c>
      <c r="H21" s="44">
        <v>0</v>
      </c>
    </row>
    <row r="22" spans="1:8" x14ac:dyDescent="0.3">
      <c r="A22" s="42">
        <v>15</v>
      </c>
      <c r="B22" s="43" t="s">
        <v>29</v>
      </c>
      <c r="C22" s="44">
        <v>30.2</v>
      </c>
      <c r="D22" s="44">
        <v>30.2</v>
      </c>
      <c r="E22" s="44">
        <v>35.4</v>
      </c>
      <c r="F22" s="44">
        <v>35.4</v>
      </c>
      <c r="G22" s="44">
        <v>35.4</v>
      </c>
      <c r="H22" s="44">
        <v>0</v>
      </c>
    </row>
    <row r="23" spans="1:8" x14ac:dyDescent="0.3">
      <c r="A23" s="42">
        <v>16</v>
      </c>
      <c r="B23" s="43" t="s">
        <v>30</v>
      </c>
      <c r="C23" s="44">
        <v>18.2</v>
      </c>
      <c r="D23" s="44">
        <v>18.2</v>
      </c>
      <c r="E23" s="44">
        <v>18.2</v>
      </c>
      <c r="F23" s="44">
        <v>18.2</v>
      </c>
      <c r="G23" s="44">
        <v>18.2</v>
      </c>
      <c r="H23" s="44">
        <v>0.65</v>
      </c>
    </row>
    <row r="24" spans="1:8" x14ac:dyDescent="0.3">
      <c r="C24" s="52">
        <f>SUM(C3:C23)</f>
        <v>305.3</v>
      </c>
      <c r="D24" s="52">
        <f t="shared" ref="D24:F24" si="0">SUM(D3:D23)</f>
        <v>334.49999999999994</v>
      </c>
      <c r="E24" s="52">
        <f t="shared" si="0"/>
        <v>354.1</v>
      </c>
      <c r="F24" s="52">
        <f t="shared" si="0"/>
        <v>376.8</v>
      </c>
      <c r="G24" s="52">
        <f>SUM(G3:G23)</f>
        <v>371.8</v>
      </c>
    </row>
    <row r="27" spans="1:8" x14ac:dyDescent="0.3">
      <c r="D27" s="3"/>
    </row>
    <row r="38" spans="1:7" x14ac:dyDescent="0.3">
      <c r="B38" s="59" t="s">
        <v>31</v>
      </c>
      <c r="C38" s="59"/>
      <c r="D38" s="59"/>
      <c r="E38" s="59"/>
      <c r="F38" s="59"/>
      <c r="G38" s="59"/>
    </row>
    <row r="41" spans="1:7" x14ac:dyDescent="0.3">
      <c r="A41" s="22" t="s">
        <v>2</v>
      </c>
      <c r="B41" s="23" t="s">
        <v>3</v>
      </c>
      <c r="C41" s="1" t="s">
        <v>32</v>
      </c>
    </row>
    <row r="42" spans="1:7" x14ac:dyDescent="0.3">
      <c r="A42" s="42">
        <v>1</v>
      </c>
      <c r="B42" s="43" t="s">
        <v>10</v>
      </c>
      <c r="C42" s="45"/>
    </row>
    <row r="43" spans="1:7" x14ac:dyDescent="0.3">
      <c r="A43" s="42">
        <v>2</v>
      </c>
      <c r="B43" s="43" t="s">
        <v>33</v>
      </c>
      <c r="C43" s="45"/>
    </row>
    <row r="44" spans="1:7" x14ac:dyDescent="0.3">
      <c r="A44" s="42">
        <v>3</v>
      </c>
      <c r="B44" s="43" t="s">
        <v>34</v>
      </c>
      <c r="C44" s="45" t="s">
        <v>35</v>
      </c>
    </row>
    <row r="45" spans="1:7" x14ac:dyDescent="0.3">
      <c r="A45" s="57">
        <v>4</v>
      </c>
      <c r="B45" s="43" t="s">
        <v>13</v>
      </c>
      <c r="C45" s="45"/>
    </row>
    <row r="46" spans="1:7" x14ac:dyDescent="0.3">
      <c r="A46" s="57"/>
      <c r="B46" s="43" t="s">
        <v>14</v>
      </c>
      <c r="C46" s="45"/>
    </row>
    <row r="47" spans="1:7" x14ac:dyDescent="0.3">
      <c r="A47" s="42">
        <v>5</v>
      </c>
      <c r="B47" s="43" t="s">
        <v>15</v>
      </c>
      <c r="C47" s="45"/>
    </row>
    <row r="48" spans="1:7" x14ac:dyDescent="0.3">
      <c r="A48" s="42">
        <v>6</v>
      </c>
      <c r="B48" s="43" t="s">
        <v>16</v>
      </c>
      <c r="C48" s="45" t="s">
        <v>36</v>
      </c>
    </row>
    <row r="49" spans="1:3" x14ac:dyDescent="0.3">
      <c r="A49" s="42">
        <v>7</v>
      </c>
      <c r="B49" s="43" t="s">
        <v>17</v>
      </c>
      <c r="C49" s="45">
        <v>6</v>
      </c>
    </row>
    <row r="50" spans="1:3" x14ac:dyDescent="0.3">
      <c r="A50" s="42">
        <v>8</v>
      </c>
      <c r="B50" s="43" t="s">
        <v>18</v>
      </c>
      <c r="C50" s="45" t="s">
        <v>37</v>
      </c>
    </row>
    <row r="51" spans="1:3" x14ac:dyDescent="0.3">
      <c r="A51" s="42">
        <v>9</v>
      </c>
      <c r="B51" s="43" t="s">
        <v>19</v>
      </c>
      <c r="C51" s="45">
        <v>8</v>
      </c>
    </row>
    <row r="52" spans="1:3" x14ac:dyDescent="0.3">
      <c r="A52" s="42">
        <v>10</v>
      </c>
      <c r="B52" s="43" t="s">
        <v>20</v>
      </c>
      <c r="C52" s="45">
        <v>9</v>
      </c>
    </row>
    <row r="53" spans="1:3" x14ac:dyDescent="0.3">
      <c r="A53" s="42">
        <v>11</v>
      </c>
      <c r="B53" s="43" t="s">
        <v>21</v>
      </c>
      <c r="C53" s="45">
        <v>10</v>
      </c>
    </row>
    <row r="54" spans="1:3" x14ac:dyDescent="0.3">
      <c r="A54" s="57">
        <v>12</v>
      </c>
      <c r="B54" s="43" t="s">
        <v>22</v>
      </c>
      <c r="C54" s="60">
        <v>11</v>
      </c>
    </row>
    <row r="55" spans="1:3" x14ac:dyDescent="0.3">
      <c r="A55" s="57"/>
      <c r="B55" s="43" t="s">
        <v>23</v>
      </c>
      <c r="C55" s="60"/>
    </row>
    <row r="56" spans="1:3" x14ac:dyDescent="0.3">
      <c r="A56" s="57"/>
      <c r="B56" s="43" t="s">
        <v>24</v>
      </c>
      <c r="C56" s="60"/>
    </row>
    <row r="57" spans="1:3" x14ac:dyDescent="0.3">
      <c r="A57" s="57"/>
      <c r="B57" s="43" t="s">
        <v>25</v>
      </c>
      <c r="C57" s="60"/>
    </row>
    <row r="58" spans="1:3" x14ac:dyDescent="0.3">
      <c r="A58" s="57">
        <v>13</v>
      </c>
      <c r="B58" s="43" t="s">
        <v>26</v>
      </c>
      <c r="C58" s="60">
        <v>11</v>
      </c>
    </row>
    <row r="59" spans="1:3" x14ac:dyDescent="0.3">
      <c r="A59" s="57"/>
      <c r="B59" s="43" t="s">
        <v>27</v>
      </c>
      <c r="C59" s="60"/>
    </row>
    <row r="60" spans="1:3" x14ac:dyDescent="0.3">
      <c r="A60" s="42">
        <v>14</v>
      </c>
      <c r="B60" s="43" t="s">
        <v>28</v>
      </c>
      <c r="C60" s="45" t="s">
        <v>38</v>
      </c>
    </row>
    <row r="61" spans="1:3" x14ac:dyDescent="0.3">
      <c r="A61" s="42">
        <v>15</v>
      </c>
      <c r="B61" s="43" t="s">
        <v>29</v>
      </c>
      <c r="C61" s="45">
        <v>14</v>
      </c>
    </row>
    <row r="62" spans="1:3" x14ac:dyDescent="0.3">
      <c r="A62" s="42">
        <v>16</v>
      </c>
      <c r="B62" s="43" t="s">
        <v>30</v>
      </c>
      <c r="C62" s="45">
        <v>15</v>
      </c>
    </row>
  </sheetData>
  <mergeCells count="10">
    <mergeCell ref="A45:A46"/>
    <mergeCell ref="A54:A57"/>
    <mergeCell ref="A58:A59"/>
    <mergeCell ref="C54:C57"/>
    <mergeCell ref="C58:C59"/>
    <mergeCell ref="A6:A7"/>
    <mergeCell ref="A19:A20"/>
    <mergeCell ref="C1:G1"/>
    <mergeCell ref="A15:A18"/>
    <mergeCell ref="B38:G38"/>
  </mergeCells>
  <pageMargins left="0.7" right="0.7" top="0.75" bottom="0.75" header="0.3" footer="0.3"/>
  <pageSetup paperSize="9" scale="64" orientation="portrait" r:id="rId1"/>
  <ignoredErrors>
    <ignoredError sqref="C60" twoDigitTextYea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48E8-2784-46AE-9D37-F31AE46F8673}">
  <sheetPr>
    <pageSetUpPr fitToPage="1"/>
  </sheetPr>
  <dimension ref="A1:M68"/>
  <sheetViews>
    <sheetView tabSelected="1" topLeftCell="A5" zoomScale="76" zoomScaleNormal="55" workbookViewId="0">
      <selection activeCell="A30" sqref="A30"/>
    </sheetView>
  </sheetViews>
  <sheetFormatPr defaultColWidth="8.77734375" defaultRowHeight="14.4" x14ac:dyDescent="0.3"/>
  <cols>
    <col min="1" max="1" width="74.5546875" customWidth="1"/>
    <col min="2" max="2" width="40.5546875" customWidth="1"/>
    <col min="3" max="3" width="21.44140625" bestFit="1" customWidth="1"/>
    <col min="4" max="4" width="34.5546875" customWidth="1"/>
    <col min="5" max="5" width="45.77734375" customWidth="1"/>
    <col min="6" max="6" width="34.77734375" customWidth="1"/>
    <col min="7" max="7" width="21.44140625" style="3" customWidth="1"/>
    <col min="8" max="8" width="22.109375" customWidth="1"/>
    <col min="9" max="9" width="22.77734375" customWidth="1"/>
    <col min="10" max="10" width="23.21875" customWidth="1"/>
    <col min="11" max="11" width="12.21875" customWidth="1"/>
  </cols>
  <sheetData>
    <row r="1" spans="1:9" x14ac:dyDescent="0.3">
      <c r="A1" s="59" t="s">
        <v>99</v>
      </c>
      <c r="B1" s="59"/>
      <c r="C1" s="59"/>
      <c r="D1" s="59"/>
      <c r="E1" s="59"/>
      <c r="F1" s="59"/>
      <c r="G1" s="59"/>
      <c r="H1" s="59"/>
      <c r="I1" s="59"/>
    </row>
    <row r="2" spans="1:9" x14ac:dyDescent="0.3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s="3" t="s">
        <v>106</v>
      </c>
      <c r="H2" t="s">
        <v>107</v>
      </c>
      <c r="I2" t="s">
        <v>108</v>
      </c>
    </row>
    <row r="3" spans="1:9" x14ac:dyDescent="0.3">
      <c r="A3" s="56" t="s">
        <v>109</v>
      </c>
      <c r="B3" t="s">
        <v>110</v>
      </c>
      <c r="C3" t="s">
        <v>111</v>
      </c>
      <c r="E3" t="s">
        <v>112</v>
      </c>
      <c r="F3" t="s">
        <v>113</v>
      </c>
      <c r="G3" s="18">
        <v>15000</v>
      </c>
      <c r="H3" s="36" t="s">
        <v>114</v>
      </c>
      <c r="I3" t="s">
        <v>115</v>
      </c>
    </row>
    <row r="4" spans="1:9" x14ac:dyDescent="0.3">
      <c r="A4" s="55" t="s">
        <v>116</v>
      </c>
      <c r="B4" t="s">
        <v>117</v>
      </c>
      <c r="C4" t="s">
        <v>111</v>
      </c>
      <c r="D4" t="s">
        <v>52</v>
      </c>
      <c r="E4" t="s">
        <v>118</v>
      </c>
      <c r="F4" t="s">
        <v>119</v>
      </c>
      <c r="G4" s="18">
        <v>120000</v>
      </c>
      <c r="H4" s="36" t="s">
        <v>120</v>
      </c>
      <c r="I4" t="s">
        <v>121</v>
      </c>
    </row>
    <row r="5" spans="1:9" x14ac:dyDescent="0.3">
      <c r="A5" s="55" t="s">
        <v>122</v>
      </c>
      <c r="B5" t="s">
        <v>117</v>
      </c>
      <c r="C5" t="s">
        <v>111</v>
      </c>
      <c r="D5" t="s">
        <v>50</v>
      </c>
      <c r="E5" t="s">
        <v>123</v>
      </c>
      <c r="F5" t="s">
        <v>124</v>
      </c>
      <c r="G5" s="18">
        <v>95000</v>
      </c>
      <c r="H5" s="36" t="s">
        <v>125</v>
      </c>
      <c r="I5" t="s">
        <v>121</v>
      </c>
    </row>
    <row r="6" spans="1:9" x14ac:dyDescent="0.3">
      <c r="A6" s="54" t="s">
        <v>126</v>
      </c>
      <c r="B6" t="s">
        <v>117</v>
      </c>
      <c r="C6" t="s">
        <v>111</v>
      </c>
      <c r="D6" t="s">
        <v>127</v>
      </c>
      <c r="E6" t="s">
        <v>128</v>
      </c>
      <c r="F6" t="s">
        <v>124</v>
      </c>
      <c r="G6" s="18">
        <v>185000</v>
      </c>
      <c r="H6" s="36" t="s">
        <v>120</v>
      </c>
      <c r="I6" t="s">
        <v>121</v>
      </c>
    </row>
    <row r="7" spans="1:9" x14ac:dyDescent="0.3">
      <c r="A7" s="56" t="s">
        <v>129</v>
      </c>
      <c r="B7" t="s">
        <v>130</v>
      </c>
      <c r="C7" t="s">
        <v>111</v>
      </c>
      <c r="E7" t="s">
        <v>131</v>
      </c>
      <c r="F7" t="s">
        <v>113</v>
      </c>
      <c r="G7" s="19">
        <v>5000</v>
      </c>
      <c r="H7" s="36" t="s">
        <v>132</v>
      </c>
      <c r="I7" t="s">
        <v>115</v>
      </c>
    </row>
    <row r="8" spans="1:9" x14ac:dyDescent="0.3">
      <c r="A8" s="56" t="s">
        <v>133</v>
      </c>
      <c r="B8" t="s">
        <v>110</v>
      </c>
      <c r="C8" t="s">
        <v>134</v>
      </c>
      <c r="D8" t="s">
        <v>46</v>
      </c>
      <c r="E8" t="s">
        <v>135</v>
      </c>
      <c r="F8" t="s">
        <v>136</v>
      </c>
      <c r="G8" s="18">
        <v>60000</v>
      </c>
      <c r="H8" s="36" t="s">
        <v>137</v>
      </c>
      <c r="I8" t="s">
        <v>115</v>
      </c>
    </row>
    <row r="9" spans="1:9" x14ac:dyDescent="0.3">
      <c r="A9" s="54" t="s">
        <v>138</v>
      </c>
      <c r="B9" t="s">
        <v>117</v>
      </c>
      <c r="C9" t="s">
        <v>134</v>
      </c>
      <c r="D9" t="s">
        <v>48</v>
      </c>
      <c r="E9" t="s">
        <v>139</v>
      </c>
      <c r="F9" t="s">
        <v>113</v>
      </c>
      <c r="G9" s="18">
        <v>135000</v>
      </c>
      <c r="H9" s="36" t="s">
        <v>125</v>
      </c>
      <c r="I9" t="s">
        <v>121</v>
      </c>
    </row>
    <row r="10" spans="1:9" x14ac:dyDescent="0.3">
      <c r="A10" s="54" t="s">
        <v>140</v>
      </c>
      <c r="B10" t="s">
        <v>110</v>
      </c>
      <c r="C10" t="s">
        <v>134</v>
      </c>
      <c r="D10" t="s">
        <v>48</v>
      </c>
      <c r="E10" t="s">
        <v>141</v>
      </c>
      <c r="F10" t="s">
        <v>136</v>
      </c>
      <c r="G10" s="18">
        <v>20000</v>
      </c>
      <c r="H10" s="36" t="s">
        <v>142</v>
      </c>
      <c r="I10" t="s">
        <v>115</v>
      </c>
    </row>
    <row r="11" spans="1:9" x14ac:dyDescent="0.3">
      <c r="A11" s="56" t="s">
        <v>129</v>
      </c>
      <c r="B11" t="s">
        <v>130</v>
      </c>
      <c r="C11" t="s">
        <v>134</v>
      </c>
      <c r="E11" t="s">
        <v>131</v>
      </c>
      <c r="F11" t="s">
        <v>113</v>
      </c>
      <c r="G11" s="18">
        <v>5000</v>
      </c>
      <c r="H11" s="36" t="s">
        <v>132</v>
      </c>
      <c r="I11" t="s">
        <v>115</v>
      </c>
    </row>
    <row r="12" spans="1:9" x14ac:dyDescent="0.3">
      <c r="A12" t="s">
        <v>143</v>
      </c>
      <c r="B12" t="s">
        <v>110</v>
      </c>
      <c r="C12" t="s">
        <v>47</v>
      </c>
      <c r="E12" t="s">
        <v>144</v>
      </c>
      <c r="F12" t="s">
        <v>145</v>
      </c>
      <c r="G12" s="18">
        <v>2000</v>
      </c>
      <c r="H12" s="36" t="s">
        <v>132</v>
      </c>
      <c r="I12" t="s">
        <v>115</v>
      </c>
    </row>
    <row r="13" spans="1:9" x14ac:dyDescent="0.3">
      <c r="A13" s="56" t="s">
        <v>203</v>
      </c>
      <c r="B13" t="s">
        <v>130</v>
      </c>
      <c r="C13" t="s">
        <v>64</v>
      </c>
      <c r="E13" t="s">
        <v>131</v>
      </c>
      <c r="F13" t="s">
        <v>113</v>
      </c>
      <c r="G13" s="18">
        <v>5000</v>
      </c>
      <c r="H13" s="36" t="s">
        <v>132</v>
      </c>
      <c r="I13" s="5" t="s">
        <v>115</v>
      </c>
    </row>
    <row r="14" spans="1:9" x14ac:dyDescent="0.3">
      <c r="A14" s="56" t="s">
        <v>146</v>
      </c>
      <c r="B14" t="s">
        <v>110</v>
      </c>
      <c r="C14" t="s">
        <v>64</v>
      </c>
      <c r="E14" t="s">
        <v>139</v>
      </c>
      <c r="F14" t="s">
        <v>136</v>
      </c>
      <c r="G14" s="18">
        <v>55000</v>
      </c>
      <c r="H14" s="36" t="s">
        <v>125</v>
      </c>
      <c r="I14" t="s">
        <v>121</v>
      </c>
    </row>
    <row r="15" spans="1:9" x14ac:dyDescent="0.3">
      <c r="A15" s="56" t="s">
        <v>147</v>
      </c>
      <c r="B15" t="s">
        <v>117</v>
      </c>
      <c r="C15" t="s">
        <v>49</v>
      </c>
      <c r="D15" t="s">
        <v>49</v>
      </c>
      <c r="E15" t="s">
        <v>148</v>
      </c>
      <c r="F15" t="s">
        <v>113</v>
      </c>
      <c r="G15" s="18">
        <v>90000</v>
      </c>
      <c r="H15" s="36" t="s">
        <v>142</v>
      </c>
      <c r="I15" t="s">
        <v>115</v>
      </c>
    </row>
    <row r="16" spans="1:9" x14ac:dyDescent="0.3">
      <c r="A16" s="54" t="s">
        <v>149</v>
      </c>
      <c r="B16" t="s">
        <v>150</v>
      </c>
      <c r="C16" t="s">
        <v>60</v>
      </c>
      <c r="D16" t="s">
        <v>151</v>
      </c>
      <c r="E16" t="s">
        <v>152</v>
      </c>
      <c r="F16" t="s">
        <v>136</v>
      </c>
      <c r="G16" s="18">
        <v>15000</v>
      </c>
      <c r="H16" s="36" t="s">
        <v>120</v>
      </c>
      <c r="I16" t="s">
        <v>121</v>
      </c>
    </row>
    <row r="17" spans="1:13" x14ac:dyDescent="0.3">
      <c r="A17" s="56" t="s">
        <v>153</v>
      </c>
      <c r="B17" t="s">
        <v>110</v>
      </c>
      <c r="C17" t="s">
        <v>60</v>
      </c>
      <c r="D17" t="s">
        <v>59</v>
      </c>
      <c r="E17" t="s">
        <v>154</v>
      </c>
      <c r="F17" t="s">
        <v>113</v>
      </c>
      <c r="G17" s="18">
        <v>25000</v>
      </c>
      <c r="H17" s="36" t="s">
        <v>142</v>
      </c>
      <c r="I17" t="s">
        <v>115</v>
      </c>
    </row>
    <row r="18" spans="1:13" x14ac:dyDescent="0.3">
      <c r="A18" s="56" t="s">
        <v>129</v>
      </c>
      <c r="B18" t="s">
        <v>130</v>
      </c>
      <c r="C18" t="s">
        <v>60</v>
      </c>
      <c r="E18" t="s">
        <v>131</v>
      </c>
      <c r="F18" t="s">
        <v>113</v>
      </c>
      <c r="G18" s="18">
        <v>5000</v>
      </c>
      <c r="H18" s="36" t="s">
        <v>132</v>
      </c>
      <c r="I18" s="5" t="s">
        <v>115</v>
      </c>
    </row>
    <row r="19" spans="1:13" x14ac:dyDescent="0.3">
      <c r="A19" t="s">
        <v>155</v>
      </c>
      <c r="B19" t="s">
        <v>117</v>
      </c>
      <c r="C19" t="s">
        <v>72</v>
      </c>
      <c r="D19" t="s">
        <v>72</v>
      </c>
      <c r="E19" t="s">
        <v>148</v>
      </c>
      <c r="F19" t="s">
        <v>156</v>
      </c>
      <c r="G19" s="18">
        <v>100000</v>
      </c>
      <c r="H19" s="36" t="s">
        <v>137</v>
      </c>
      <c r="I19" t="s">
        <v>115</v>
      </c>
    </row>
    <row r="20" spans="1:13" x14ac:dyDescent="0.3">
      <c r="A20" s="56" t="s">
        <v>129</v>
      </c>
      <c r="B20" t="s">
        <v>130</v>
      </c>
      <c r="C20" t="s">
        <v>72</v>
      </c>
      <c r="D20" t="s">
        <v>72</v>
      </c>
      <c r="E20" t="s">
        <v>131</v>
      </c>
      <c r="F20" t="s">
        <v>113</v>
      </c>
      <c r="G20" s="18">
        <v>5000</v>
      </c>
      <c r="H20" s="36" t="s">
        <v>132</v>
      </c>
      <c r="I20" s="5" t="s">
        <v>115</v>
      </c>
    </row>
    <row r="21" spans="1:13" x14ac:dyDescent="0.3">
      <c r="A21" t="s">
        <v>157</v>
      </c>
      <c r="B21" t="s">
        <v>117</v>
      </c>
      <c r="C21" t="s">
        <v>71</v>
      </c>
      <c r="D21" t="s">
        <v>71</v>
      </c>
      <c r="F21" t="s">
        <v>136</v>
      </c>
      <c r="G21" s="18">
        <v>145000</v>
      </c>
      <c r="H21" s="36" t="s">
        <v>125</v>
      </c>
      <c r="I21" t="s">
        <v>121</v>
      </c>
    </row>
    <row r="22" spans="1:13" x14ac:dyDescent="0.3">
      <c r="A22" s="56" t="s">
        <v>159</v>
      </c>
      <c r="B22" t="s">
        <v>117</v>
      </c>
      <c r="C22" t="s">
        <v>71</v>
      </c>
      <c r="E22" t="s">
        <v>158</v>
      </c>
      <c r="F22" t="s">
        <v>113</v>
      </c>
      <c r="G22" s="18">
        <v>70000</v>
      </c>
      <c r="H22" s="36" t="s">
        <v>142</v>
      </c>
      <c r="I22" t="s">
        <v>115</v>
      </c>
    </row>
    <row r="23" spans="1:13" x14ac:dyDescent="0.3">
      <c r="A23" s="55" t="s">
        <v>160</v>
      </c>
      <c r="B23" t="s">
        <v>161</v>
      </c>
      <c r="C23" t="s">
        <v>58</v>
      </c>
      <c r="D23" t="s">
        <v>57</v>
      </c>
      <c r="E23" t="s">
        <v>162</v>
      </c>
      <c r="F23" t="s">
        <v>136</v>
      </c>
      <c r="G23" s="18">
        <v>80000</v>
      </c>
      <c r="H23" s="36" t="s">
        <v>163</v>
      </c>
      <c r="I23" t="s">
        <v>121</v>
      </c>
      <c r="M23" s="5"/>
    </row>
    <row r="24" spans="1:13" x14ac:dyDescent="0.3">
      <c r="A24" s="56" t="s">
        <v>164</v>
      </c>
      <c r="B24" t="s">
        <v>165</v>
      </c>
      <c r="C24" t="s">
        <v>58</v>
      </c>
      <c r="D24" t="s">
        <v>70</v>
      </c>
      <c r="E24" t="s">
        <v>166</v>
      </c>
      <c r="F24" t="s">
        <v>113</v>
      </c>
      <c r="G24" s="18">
        <v>75000</v>
      </c>
      <c r="H24" s="36" t="s">
        <v>137</v>
      </c>
      <c r="I24" t="s">
        <v>121</v>
      </c>
      <c r="M24" s="5"/>
    </row>
    <row r="25" spans="1:13" x14ac:dyDescent="0.3">
      <c r="A25" s="56" t="s">
        <v>167</v>
      </c>
      <c r="B25" t="s">
        <v>165</v>
      </c>
      <c r="C25" t="s">
        <v>58</v>
      </c>
      <c r="D25" t="s">
        <v>70</v>
      </c>
      <c r="E25" t="s">
        <v>148</v>
      </c>
      <c r="F25" t="s">
        <v>168</v>
      </c>
      <c r="G25" s="18">
        <v>50000</v>
      </c>
      <c r="H25" s="36" t="s">
        <v>169</v>
      </c>
      <c r="I25" t="s">
        <v>170</v>
      </c>
      <c r="M25" s="5"/>
    </row>
    <row r="26" spans="1:13" x14ac:dyDescent="0.3">
      <c r="A26" t="s">
        <v>171</v>
      </c>
      <c r="B26" t="s">
        <v>165</v>
      </c>
      <c r="C26" t="s">
        <v>58</v>
      </c>
      <c r="D26" t="s">
        <v>70</v>
      </c>
      <c r="E26" t="s">
        <v>148</v>
      </c>
      <c r="F26" t="s">
        <v>136</v>
      </c>
      <c r="G26" s="18">
        <v>25000</v>
      </c>
      <c r="H26" s="36" t="s">
        <v>169</v>
      </c>
      <c r="I26" t="s">
        <v>170</v>
      </c>
    </row>
    <row r="27" spans="1:13" x14ac:dyDescent="0.3">
      <c r="A27" s="56" t="s">
        <v>172</v>
      </c>
      <c r="B27" t="s">
        <v>117</v>
      </c>
      <c r="C27" t="s">
        <v>72</v>
      </c>
      <c r="D27" t="s">
        <v>72</v>
      </c>
      <c r="E27" t="s">
        <v>154</v>
      </c>
      <c r="F27" t="s">
        <v>136</v>
      </c>
      <c r="G27" s="18">
        <v>205000</v>
      </c>
      <c r="H27" s="36" t="s">
        <v>132</v>
      </c>
      <c r="I27" s="5" t="s">
        <v>115</v>
      </c>
    </row>
    <row r="28" spans="1:13" x14ac:dyDescent="0.3">
      <c r="A28" s="56" t="s">
        <v>129</v>
      </c>
      <c r="B28" t="s">
        <v>130</v>
      </c>
      <c r="C28" t="s">
        <v>55</v>
      </c>
      <c r="D28" t="s">
        <v>56</v>
      </c>
      <c r="E28" t="s">
        <v>148</v>
      </c>
      <c r="F28" t="s">
        <v>113</v>
      </c>
      <c r="G28" s="18">
        <v>5000</v>
      </c>
      <c r="H28" s="36" t="s">
        <v>114</v>
      </c>
      <c r="I28" t="s">
        <v>115</v>
      </c>
    </row>
    <row r="29" spans="1:13" x14ac:dyDescent="0.3">
      <c r="A29" t="s">
        <v>199</v>
      </c>
      <c r="B29" t="s">
        <v>173</v>
      </c>
      <c r="C29" t="s">
        <v>174</v>
      </c>
      <c r="D29" t="s">
        <v>175</v>
      </c>
      <c r="E29" t="s">
        <v>176</v>
      </c>
      <c r="F29" t="s">
        <v>177</v>
      </c>
      <c r="G29" s="18">
        <v>80000</v>
      </c>
      <c r="H29" s="36" t="s">
        <v>163</v>
      </c>
      <c r="I29" t="s">
        <v>115</v>
      </c>
    </row>
    <row r="30" spans="1:13" x14ac:dyDescent="0.3">
      <c r="A30" t="s">
        <v>200</v>
      </c>
      <c r="B30" t="s">
        <v>173</v>
      </c>
      <c r="C30" t="s">
        <v>174</v>
      </c>
      <c r="D30" t="s">
        <v>175</v>
      </c>
      <c r="E30" t="s">
        <v>176</v>
      </c>
      <c r="F30" t="s">
        <v>177</v>
      </c>
      <c r="G30" s="18">
        <v>100000</v>
      </c>
      <c r="H30" s="36" t="s">
        <v>163</v>
      </c>
      <c r="I30" t="s">
        <v>115</v>
      </c>
    </row>
    <row r="31" spans="1:13" x14ac:dyDescent="0.3">
      <c r="G31"/>
    </row>
    <row r="32" spans="1:13" x14ac:dyDescent="0.3">
      <c r="G32"/>
    </row>
    <row r="33" spans="1:7" x14ac:dyDescent="0.3">
      <c r="A33" s="59" t="s">
        <v>178</v>
      </c>
      <c r="B33" s="59"/>
      <c r="C33" s="59"/>
      <c r="D33" s="59"/>
      <c r="E33" s="59"/>
      <c r="F33" s="59"/>
      <c r="G33" s="59"/>
    </row>
    <row r="34" spans="1:7" x14ac:dyDescent="0.3">
      <c r="A34" t="s">
        <v>179</v>
      </c>
      <c r="B34" t="s">
        <v>102</v>
      </c>
      <c r="C34" t="s">
        <v>103</v>
      </c>
      <c r="D34" t="s">
        <v>180</v>
      </c>
      <c r="E34" t="s">
        <v>106</v>
      </c>
      <c r="F34" t="s">
        <v>181</v>
      </c>
      <c r="G34" t="s">
        <v>108</v>
      </c>
    </row>
    <row r="35" spans="1:7" x14ac:dyDescent="0.3">
      <c r="A35" s="54" t="s">
        <v>182</v>
      </c>
      <c r="B35" t="s">
        <v>60</v>
      </c>
      <c r="C35" t="s">
        <v>62</v>
      </c>
      <c r="D35" t="s">
        <v>183</v>
      </c>
      <c r="E35" s="3">
        <v>11500</v>
      </c>
      <c r="F35" t="s">
        <v>184</v>
      </c>
      <c r="G35" t="s">
        <v>121</v>
      </c>
    </row>
    <row r="36" spans="1:7" x14ac:dyDescent="0.3">
      <c r="A36" s="54" t="s">
        <v>185</v>
      </c>
      <c r="B36" t="s">
        <v>71</v>
      </c>
      <c r="D36" t="s">
        <v>186</v>
      </c>
      <c r="E36" s="3">
        <v>6500</v>
      </c>
      <c r="F36" t="s">
        <v>142</v>
      </c>
      <c r="G36" t="s">
        <v>115</v>
      </c>
    </row>
    <row r="37" spans="1:7" x14ac:dyDescent="0.3">
      <c r="A37" s="54" t="s">
        <v>187</v>
      </c>
      <c r="B37" t="s">
        <v>71</v>
      </c>
      <c r="D37" t="s">
        <v>188</v>
      </c>
      <c r="E37" s="3">
        <v>7000</v>
      </c>
      <c r="F37" t="s">
        <v>114</v>
      </c>
      <c r="G37" t="s">
        <v>115</v>
      </c>
    </row>
    <row r="38" spans="1:7" x14ac:dyDescent="0.3">
      <c r="A38" s="54" t="s">
        <v>189</v>
      </c>
      <c r="B38" t="s">
        <v>71</v>
      </c>
      <c r="D38" t="s">
        <v>190</v>
      </c>
      <c r="E38" s="3">
        <v>8500</v>
      </c>
      <c r="F38" t="s">
        <v>114</v>
      </c>
      <c r="G38" t="s">
        <v>115</v>
      </c>
    </row>
    <row r="39" spans="1:7" x14ac:dyDescent="0.3">
      <c r="A39" s="54" t="s">
        <v>191</v>
      </c>
      <c r="B39" t="s">
        <v>47</v>
      </c>
      <c r="D39" t="s">
        <v>192</v>
      </c>
      <c r="E39" s="3">
        <v>14000</v>
      </c>
      <c r="F39" t="s">
        <v>137</v>
      </c>
      <c r="G39" t="s">
        <v>121</v>
      </c>
    </row>
    <row r="40" spans="1:7" x14ac:dyDescent="0.3">
      <c r="A40" s="54" t="s">
        <v>193</v>
      </c>
      <c r="B40" t="s">
        <v>58</v>
      </c>
      <c r="C40" t="s">
        <v>57</v>
      </c>
      <c r="D40" t="s">
        <v>166</v>
      </c>
      <c r="E40" s="3">
        <v>9500</v>
      </c>
      <c r="F40" t="s">
        <v>184</v>
      </c>
      <c r="G40" t="s">
        <v>115</v>
      </c>
    </row>
    <row r="41" spans="1:7" x14ac:dyDescent="0.3">
      <c r="A41" s="54" t="s">
        <v>194</v>
      </c>
      <c r="B41" t="s">
        <v>60</v>
      </c>
      <c r="D41" t="s">
        <v>195</v>
      </c>
      <c r="E41" s="3">
        <v>11000</v>
      </c>
      <c r="F41" t="s">
        <v>184</v>
      </c>
      <c r="G41" t="s">
        <v>121</v>
      </c>
    </row>
    <row r="42" spans="1:7" x14ac:dyDescent="0.3">
      <c r="A42" s="55" t="s">
        <v>191</v>
      </c>
      <c r="B42" t="s">
        <v>51</v>
      </c>
      <c r="D42" t="s">
        <v>192</v>
      </c>
      <c r="E42" s="3">
        <v>13000</v>
      </c>
      <c r="F42" t="s">
        <v>137</v>
      </c>
      <c r="G42" t="s">
        <v>121</v>
      </c>
    </row>
    <row r="43" spans="1:7" x14ac:dyDescent="0.3">
      <c r="A43" s="54" t="s">
        <v>193</v>
      </c>
      <c r="B43" t="s">
        <v>58</v>
      </c>
      <c r="C43" t="s">
        <v>70</v>
      </c>
      <c r="D43" t="s">
        <v>166</v>
      </c>
      <c r="E43" s="3">
        <v>7500</v>
      </c>
      <c r="F43" t="s">
        <v>114</v>
      </c>
      <c r="G43" t="s">
        <v>115</v>
      </c>
    </row>
    <row r="44" spans="1:7" x14ac:dyDescent="0.3">
      <c r="A44" s="54" t="s">
        <v>194</v>
      </c>
      <c r="B44" t="s">
        <v>64</v>
      </c>
      <c r="D44" t="s">
        <v>195</v>
      </c>
      <c r="E44" s="3">
        <v>11500</v>
      </c>
      <c r="F44" t="s">
        <v>184</v>
      </c>
      <c r="G44" t="s">
        <v>121</v>
      </c>
    </row>
    <row r="45" spans="1:7" x14ac:dyDescent="0.3">
      <c r="A45" s="54" t="s">
        <v>187</v>
      </c>
      <c r="B45" t="s">
        <v>49</v>
      </c>
      <c r="D45" t="s">
        <v>196</v>
      </c>
      <c r="E45" s="3">
        <v>7500</v>
      </c>
      <c r="F45" t="s">
        <v>142</v>
      </c>
      <c r="G45" t="s">
        <v>115</v>
      </c>
    </row>
    <row r="46" spans="1:7" x14ac:dyDescent="0.3">
      <c r="A46" s="54" t="s">
        <v>189</v>
      </c>
      <c r="B46" t="s">
        <v>49</v>
      </c>
      <c r="D46" t="s">
        <v>197</v>
      </c>
      <c r="E46" s="3">
        <v>11500</v>
      </c>
      <c r="F46" t="s">
        <v>184</v>
      </c>
      <c r="G46" t="s">
        <v>121</v>
      </c>
    </row>
    <row r="47" spans="1:7" x14ac:dyDescent="0.3">
      <c r="G47"/>
    </row>
    <row r="48" spans="1:7" x14ac:dyDescent="0.3">
      <c r="G48"/>
    </row>
    <row r="49" spans="7:7" x14ac:dyDescent="0.3">
      <c r="G49"/>
    </row>
    <row r="50" spans="7:7" x14ac:dyDescent="0.3">
      <c r="G50"/>
    </row>
    <row r="51" spans="7:7" x14ac:dyDescent="0.3">
      <c r="G51"/>
    </row>
    <row r="52" spans="7:7" x14ac:dyDescent="0.3">
      <c r="G52"/>
    </row>
    <row r="53" spans="7:7" x14ac:dyDescent="0.3">
      <c r="G53"/>
    </row>
    <row r="54" spans="7:7" x14ac:dyDescent="0.3">
      <c r="G54"/>
    </row>
    <row r="55" spans="7:7" x14ac:dyDescent="0.3">
      <c r="G55"/>
    </row>
    <row r="56" spans="7:7" x14ac:dyDescent="0.3">
      <c r="G56"/>
    </row>
    <row r="57" spans="7:7" x14ac:dyDescent="0.3">
      <c r="G57"/>
    </row>
    <row r="58" spans="7:7" x14ac:dyDescent="0.3">
      <c r="G58"/>
    </row>
    <row r="59" spans="7:7" x14ac:dyDescent="0.3">
      <c r="G59"/>
    </row>
    <row r="60" spans="7:7" x14ac:dyDescent="0.3">
      <c r="G60"/>
    </row>
    <row r="61" spans="7:7" x14ac:dyDescent="0.3">
      <c r="G61"/>
    </row>
    <row r="62" spans="7:7" x14ac:dyDescent="0.3">
      <c r="G62"/>
    </row>
    <row r="63" spans="7:7" x14ac:dyDescent="0.3">
      <c r="G63"/>
    </row>
    <row r="64" spans="7:7" x14ac:dyDescent="0.3">
      <c r="G64"/>
    </row>
    <row r="65" spans="7:7" x14ac:dyDescent="0.3">
      <c r="G65"/>
    </row>
    <row r="66" spans="7:7" x14ac:dyDescent="0.3">
      <c r="G66"/>
    </row>
    <row r="67" spans="7:7" x14ac:dyDescent="0.3">
      <c r="G67"/>
    </row>
    <row r="68" spans="7:7" x14ac:dyDescent="0.3">
      <c r="G68"/>
    </row>
  </sheetData>
  <mergeCells count="2">
    <mergeCell ref="A1:I1"/>
    <mergeCell ref="A33:G33"/>
  </mergeCells>
  <dataValidations count="1">
    <dataValidation type="list" allowBlank="1" showInputMessage="1" showErrorMessage="1" sqref="B35:B46" xr:uid="{8695F694-9C55-43A7-8F59-8A713CAC14E1}">
      <formula1>#REF!</formula1>
    </dataValidation>
  </dataValidations>
  <pageMargins left="0.7" right="0.7" top="0.75" bottom="0.75" header="0.3" footer="0.3"/>
  <pageSetup scale="37" orientation="portrait" r:id="rId1"/>
  <ignoredErrors>
    <ignoredError sqref="B35:B46" listDataValidation="1"/>
  </ignoredErrors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 xr:uid="{C856E527-0EE9-4913-A73A-97B6EEF426BA}">
          <x14:formula1>
            <xm:f>'Current process'!$B$3:$B$23</xm:f>
          </x14:formula1>
          <xm:sqref>D3:D28</xm:sqref>
        </x14:dataValidation>
        <x14:dataValidation type="list" allowBlank="1" showInputMessage="1" showErrorMessage="1" xr:uid="{6451C9C3-985F-4DA4-A963-4D01A161BD6A}">
          <x14:formula1>
            <xm:f>'Current process'!$C$3:$C$23</xm:f>
          </x14:formula1>
          <xm:sqref>C3:C28</xm:sqref>
        </x14:dataValidation>
        <x14:dataValidation type="list" allowBlank="1" showInputMessage="1" showErrorMessage="1" xr:uid="{594925E7-D70B-4344-97E1-2A9378D8713F}">
          <x14:formula1>
            <xm:f>'Current process'!$B$3:$B$23</xm:f>
          </x14:formula1>
          <xm:sqref>C35:C46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D72D-50B9-4760-943F-9093A4F42C37}">
  <sheetPr>
    <pageSetUpPr fitToPage="1"/>
  </sheetPr>
  <dimension ref="A1:S24"/>
  <sheetViews>
    <sheetView topLeftCell="C1" zoomScale="98" zoomScaleNormal="89" workbookViewId="0">
      <selection activeCell="J3" sqref="J3"/>
    </sheetView>
  </sheetViews>
  <sheetFormatPr defaultColWidth="8.77734375" defaultRowHeight="14.4" x14ac:dyDescent="0.3"/>
  <cols>
    <col min="1" max="1" width="3" style="4" bestFit="1" customWidth="1"/>
    <col min="2" max="2" width="50" customWidth="1"/>
    <col min="3" max="7" width="14.5546875" customWidth="1"/>
    <col min="10" max="12" width="15.5546875" customWidth="1"/>
  </cols>
  <sheetData>
    <row r="1" spans="1:19" x14ac:dyDescent="0.3">
      <c r="A1" s="20"/>
      <c r="B1" s="20" t="s">
        <v>39</v>
      </c>
      <c r="C1" s="58" t="s">
        <v>40</v>
      </c>
      <c r="D1" s="58"/>
      <c r="E1" s="58"/>
      <c r="F1" s="58"/>
      <c r="G1" s="58"/>
      <c r="J1" s="61" t="s">
        <v>41</v>
      </c>
      <c r="K1" s="61"/>
      <c r="L1" s="61"/>
    </row>
    <row r="2" spans="1:19" x14ac:dyDescent="0.3">
      <c r="A2" s="40" t="s">
        <v>2</v>
      </c>
      <c r="B2" s="41" t="s">
        <v>3</v>
      </c>
      <c r="C2" s="41" t="s">
        <v>4</v>
      </c>
      <c r="D2" s="41" t="s">
        <v>5</v>
      </c>
      <c r="E2" s="41" t="s">
        <v>6</v>
      </c>
      <c r="F2" s="41" t="s">
        <v>7</v>
      </c>
      <c r="G2" s="41" t="s">
        <v>8</v>
      </c>
      <c r="J2" s="41" t="s">
        <v>6</v>
      </c>
      <c r="K2" s="41" t="s">
        <v>7</v>
      </c>
      <c r="L2" s="41" t="s">
        <v>8</v>
      </c>
    </row>
    <row r="3" spans="1:19" x14ac:dyDescent="0.3">
      <c r="A3" s="42">
        <v>1</v>
      </c>
      <c r="B3" s="43" t="s">
        <v>10</v>
      </c>
      <c r="C3" s="44">
        <v>3</v>
      </c>
      <c r="D3" s="44">
        <v>4</v>
      </c>
      <c r="E3" s="44">
        <v>3</v>
      </c>
      <c r="F3" s="44">
        <v>4</v>
      </c>
      <c r="G3" s="44">
        <v>4</v>
      </c>
      <c r="J3" s="44">
        <v>25</v>
      </c>
      <c r="K3" s="44">
        <v>30</v>
      </c>
      <c r="L3" s="44">
        <v>35</v>
      </c>
      <c r="O3" s="48"/>
      <c r="P3" s="48"/>
      <c r="Q3" s="48"/>
      <c r="R3" s="48"/>
      <c r="S3" s="48"/>
    </row>
    <row r="4" spans="1:19" x14ac:dyDescent="0.3">
      <c r="A4" s="42">
        <v>2</v>
      </c>
      <c r="B4" s="43" t="s">
        <v>11</v>
      </c>
      <c r="C4" s="44">
        <v>2</v>
      </c>
      <c r="D4" s="44">
        <v>2</v>
      </c>
      <c r="E4" s="44">
        <v>2</v>
      </c>
      <c r="F4" s="44">
        <v>2</v>
      </c>
      <c r="G4" s="44">
        <v>2</v>
      </c>
      <c r="O4" s="48"/>
      <c r="P4" s="48"/>
      <c r="Q4" s="48"/>
      <c r="R4" s="48"/>
      <c r="S4" s="48"/>
    </row>
    <row r="5" spans="1:19" x14ac:dyDescent="0.3">
      <c r="A5" s="42">
        <v>3</v>
      </c>
      <c r="B5" s="43" t="s">
        <v>12</v>
      </c>
      <c r="C5" s="44">
        <v>4</v>
      </c>
      <c r="D5" s="44">
        <v>4</v>
      </c>
      <c r="E5" s="44">
        <v>4</v>
      </c>
      <c r="F5" s="44">
        <v>4</v>
      </c>
      <c r="G5" s="44">
        <v>4</v>
      </c>
      <c r="O5" s="48"/>
      <c r="P5" s="48"/>
      <c r="Q5" s="48"/>
      <c r="R5" s="48"/>
      <c r="S5" s="48"/>
    </row>
    <row r="6" spans="1:19" x14ac:dyDescent="0.3">
      <c r="A6" s="57">
        <v>4</v>
      </c>
      <c r="B6" s="43" t="s">
        <v>13</v>
      </c>
      <c r="C6" s="44">
        <v>2</v>
      </c>
      <c r="D6" s="44">
        <v>0</v>
      </c>
      <c r="E6" s="44">
        <v>2</v>
      </c>
      <c r="F6" s="44">
        <v>0</v>
      </c>
      <c r="G6" s="44">
        <v>0</v>
      </c>
      <c r="O6" s="48"/>
      <c r="P6" s="48"/>
      <c r="Q6" s="48"/>
      <c r="R6" s="48"/>
      <c r="S6" s="48"/>
    </row>
    <row r="7" spans="1:19" x14ac:dyDescent="0.3">
      <c r="A7" s="57"/>
      <c r="B7" s="43" t="s">
        <v>14</v>
      </c>
      <c r="C7" s="44">
        <v>0</v>
      </c>
      <c r="D7" s="44">
        <v>3</v>
      </c>
      <c r="E7" s="44">
        <v>0</v>
      </c>
      <c r="F7" s="44">
        <v>3</v>
      </c>
      <c r="G7" s="44">
        <v>3</v>
      </c>
      <c r="O7" s="48"/>
      <c r="P7" s="48"/>
      <c r="Q7" s="48"/>
      <c r="R7" s="48"/>
      <c r="S7" s="48"/>
    </row>
    <row r="8" spans="1:19" x14ac:dyDescent="0.3">
      <c r="A8" s="42">
        <v>5</v>
      </c>
      <c r="B8" s="43" t="s">
        <v>15</v>
      </c>
      <c r="C8" s="44">
        <v>1</v>
      </c>
      <c r="D8" s="44">
        <v>1</v>
      </c>
      <c r="E8" s="44">
        <v>1</v>
      </c>
      <c r="F8" s="44">
        <v>1</v>
      </c>
      <c r="G8" s="44">
        <v>1</v>
      </c>
      <c r="J8" s="48"/>
      <c r="K8" s="48"/>
      <c r="O8" s="48"/>
      <c r="P8" s="48"/>
      <c r="Q8" s="48"/>
      <c r="R8" s="48"/>
      <c r="S8" s="48"/>
    </row>
    <row r="9" spans="1:19" x14ac:dyDescent="0.3">
      <c r="A9" s="42">
        <v>6</v>
      </c>
      <c r="B9" s="43" t="s">
        <v>16</v>
      </c>
      <c r="C9" s="44">
        <v>4</v>
      </c>
      <c r="D9" s="44">
        <v>4</v>
      </c>
      <c r="E9" s="44">
        <v>4</v>
      </c>
      <c r="F9" s="44">
        <v>5</v>
      </c>
      <c r="G9" s="44">
        <v>6</v>
      </c>
      <c r="J9" s="48"/>
      <c r="K9" s="48"/>
      <c r="O9" s="48"/>
      <c r="P9" s="48"/>
      <c r="Q9" s="48"/>
      <c r="R9" s="48"/>
      <c r="S9" s="48"/>
    </row>
    <row r="10" spans="1:19" x14ac:dyDescent="0.3">
      <c r="A10" s="42">
        <v>7</v>
      </c>
      <c r="B10" s="43" t="s">
        <v>17</v>
      </c>
      <c r="C10" s="44">
        <v>0</v>
      </c>
      <c r="D10" s="44">
        <v>0</v>
      </c>
      <c r="E10" s="44">
        <v>2</v>
      </c>
      <c r="F10" s="44">
        <v>2</v>
      </c>
      <c r="G10" s="44">
        <v>0</v>
      </c>
      <c r="J10" s="48"/>
      <c r="K10" s="48"/>
      <c r="O10" s="48"/>
      <c r="P10" s="48"/>
      <c r="Q10" s="48"/>
      <c r="R10" s="48"/>
      <c r="S10" s="48"/>
    </row>
    <row r="11" spans="1:19" x14ac:dyDescent="0.3">
      <c r="A11" s="42">
        <v>8</v>
      </c>
      <c r="B11" s="43" t="s">
        <v>18</v>
      </c>
      <c r="C11" s="44">
        <v>1</v>
      </c>
      <c r="D11" s="44">
        <v>1</v>
      </c>
      <c r="E11" s="44">
        <v>1</v>
      </c>
      <c r="F11" s="44">
        <v>1</v>
      </c>
      <c r="G11" s="44">
        <v>1</v>
      </c>
      <c r="O11" s="48"/>
      <c r="P11" s="48"/>
      <c r="Q11" s="48"/>
      <c r="R11" s="48"/>
      <c r="S11" s="48"/>
    </row>
    <row r="12" spans="1:19" x14ac:dyDescent="0.3">
      <c r="A12" s="42">
        <v>9</v>
      </c>
      <c r="B12" s="43" t="s">
        <v>19</v>
      </c>
      <c r="C12" s="44">
        <v>0.5</v>
      </c>
      <c r="D12" s="44">
        <v>0.5</v>
      </c>
      <c r="E12" s="44">
        <v>0.5</v>
      </c>
      <c r="F12" s="44">
        <v>0.5</v>
      </c>
      <c r="G12" s="44">
        <v>0.5</v>
      </c>
      <c r="O12" s="48"/>
      <c r="P12" s="48"/>
      <c r="Q12" s="48"/>
      <c r="R12" s="48"/>
      <c r="S12" s="48"/>
    </row>
    <row r="13" spans="1:19" x14ac:dyDescent="0.3">
      <c r="A13" s="42">
        <v>10</v>
      </c>
      <c r="B13" s="43" t="s">
        <v>20</v>
      </c>
      <c r="C13" s="44">
        <v>2</v>
      </c>
      <c r="D13" s="44">
        <v>2</v>
      </c>
      <c r="E13" s="44">
        <v>2</v>
      </c>
      <c r="F13" s="44">
        <v>2</v>
      </c>
      <c r="G13" s="44">
        <v>2</v>
      </c>
      <c r="O13" s="48"/>
      <c r="P13" s="48"/>
      <c r="Q13" s="48"/>
      <c r="R13" s="48"/>
      <c r="S13" s="48"/>
    </row>
    <row r="14" spans="1:19" x14ac:dyDescent="0.3">
      <c r="A14" s="42">
        <v>11</v>
      </c>
      <c r="B14" s="43" t="s">
        <v>21</v>
      </c>
      <c r="C14" s="44">
        <v>0.5</v>
      </c>
      <c r="D14" s="44">
        <v>0.5</v>
      </c>
      <c r="E14" s="44">
        <v>0.5</v>
      </c>
      <c r="F14" s="44">
        <v>0.5</v>
      </c>
      <c r="G14" s="44">
        <v>0.5</v>
      </c>
      <c r="O14" s="48"/>
      <c r="P14" s="48"/>
      <c r="Q14" s="48"/>
      <c r="R14" s="48"/>
      <c r="S14" s="48"/>
    </row>
    <row r="15" spans="1:19" x14ac:dyDescent="0.3">
      <c r="A15" s="57">
        <v>12</v>
      </c>
      <c r="B15" s="43" t="s">
        <v>22</v>
      </c>
      <c r="C15" s="44">
        <v>1</v>
      </c>
      <c r="D15" s="44">
        <v>1</v>
      </c>
      <c r="E15" s="44">
        <v>0</v>
      </c>
      <c r="F15" s="44">
        <v>0</v>
      </c>
      <c r="G15" s="44">
        <v>0</v>
      </c>
      <c r="I15">
        <f>SUM(C15:C20)</f>
        <v>1.5</v>
      </c>
      <c r="J15">
        <f t="shared" ref="J15:M15" si="0">SUM(D15:D20)</f>
        <v>2</v>
      </c>
      <c r="K15">
        <f t="shared" si="0"/>
        <v>2</v>
      </c>
      <c r="L15">
        <f t="shared" si="0"/>
        <v>2</v>
      </c>
      <c r="M15">
        <f t="shared" si="0"/>
        <v>2</v>
      </c>
      <c r="O15" s="48"/>
      <c r="P15" s="48"/>
      <c r="Q15" s="48"/>
      <c r="R15" s="48"/>
      <c r="S15" s="48"/>
    </row>
    <row r="16" spans="1:19" x14ac:dyDescent="0.3">
      <c r="A16" s="57"/>
      <c r="B16" s="43" t="s">
        <v>23</v>
      </c>
      <c r="C16" s="44">
        <v>0</v>
      </c>
      <c r="D16" s="44">
        <v>0</v>
      </c>
      <c r="E16" s="44">
        <v>1</v>
      </c>
      <c r="F16" s="44">
        <v>1</v>
      </c>
      <c r="G16" s="44">
        <v>0</v>
      </c>
      <c r="O16" s="48"/>
      <c r="P16" s="48"/>
      <c r="Q16" s="48"/>
      <c r="R16" s="48"/>
      <c r="S16" s="48"/>
    </row>
    <row r="17" spans="1:19" x14ac:dyDescent="0.3">
      <c r="A17" s="57"/>
      <c r="B17" s="43" t="s">
        <v>24</v>
      </c>
      <c r="C17" s="44">
        <v>0</v>
      </c>
      <c r="D17" s="44">
        <v>0</v>
      </c>
      <c r="E17" s="44">
        <v>0</v>
      </c>
      <c r="F17" s="44">
        <v>0</v>
      </c>
      <c r="G17" s="44">
        <v>1</v>
      </c>
      <c r="O17" s="48"/>
      <c r="P17" s="48"/>
      <c r="Q17" s="48"/>
      <c r="R17" s="48"/>
      <c r="S17" s="48"/>
    </row>
    <row r="18" spans="1:19" x14ac:dyDescent="0.3">
      <c r="A18" s="57"/>
      <c r="B18" s="43" t="s">
        <v>25</v>
      </c>
      <c r="C18" s="44">
        <v>0</v>
      </c>
      <c r="D18" s="44">
        <v>0.5</v>
      </c>
      <c r="E18" s="44">
        <v>0.5</v>
      </c>
      <c r="F18" s="44">
        <v>0.5</v>
      </c>
      <c r="G18" s="44">
        <v>0.5</v>
      </c>
      <c r="O18" s="48"/>
      <c r="P18" s="48"/>
      <c r="Q18" s="48"/>
      <c r="R18" s="48"/>
      <c r="S18" s="48"/>
    </row>
    <row r="19" spans="1:19" x14ac:dyDescent="0.3">
      <c r="A19" s="57">
        <v>13</v>
      </c>
      <c r="B19" s="43" t="s">
        <v>26</v>
      </c>
      <c r="C19" s="44">
        <v>0.5</v>
      </c>
      <c r="D19" s="44">
        <v>0.5</v>
      </c>
      <c r="E19" s="44">
        <v>0</v>
      </c>
      <c r="F19" s="44">
        <v>0</v>
      </c>
      <c r="G19" s="44">
        <v>0</v>
      </c>
      <c r="O19" s="48"/>
      <c r="P19" s="48"/>
      <c r="Q19" s="48"/>
      <c r="R19" s="48"/>
      <c r="S19" s="48"/>
    </row>
    <row r="20" spans="1:19" x14ac:dyDescent="0.3">
      <c r="A20" s="57"/>
      <c r="B20" s="43" t="s">
        <v>27</v>
      </c>
      <c r="C20" s="44">
        <v>0</v>
      </c>
      <c r="D20" s="44">
        <v>0</v>
      </c>
      <c r="E20" s="44">
        <v>0.5</v>
      </c>
      <c r="F20" s="44">
        <v>0.5</v>
      </c>
      <c r="G20" s="44">
        <v>0.5</v>
      </c>
      <c r="O20" s="48"/>
      <c r="P20" s="48"/>
      <c r="Q20" s="48"/>
      <c r="R20" s="48"/>
      <c r="S20" s="48"/>
    </row>
    <row r="21" spans="1:19" x14ac:dyDescent="0.3">
      <c r="A21" s="42">
        <v>14</v>
      </c>
      <c r="B21" s="43" t="s">
        <v>28</v>
      </c>
      <c r="C21" s="44">
        <v>0.5</v>
      </c>
      <c r="D21" s="44">
        <v>0.5</v>
      </c>
      <c r="E21" s="44">
        <v>0.5</v>
      </c>
      <c r="F21" s="44">
        <v>0.5</v>
      </c>
      <c r="G21" s="44">
        <v>0.5</v>
      </c>
      <c r="O21" s="48"/>
      <c r="P21" s="48"/>
      <c r="Q21" s="48"/>
      <c r="R21" s="48"/>
      <c r="S21" s="48"/>
    </row>
    <row r="22" spans="1:19" x14ac:dyDescent="0.3">
      <c r="A22" s="42">
        <v>15</v>
      </c>
      <c r="B22" s="43" t="s">
        <v>29</v>
      </c>
      <c r="C22" s="44">
        <v>2</v>
      </c>
      <c r="D22" s="44">
        <v>2</v>
      </c>
      <c r="E22" s="44">
        <v>2</v>
      </c>
      <c r="F22" s="44">
        <v>2</v>
      </c>
      <c r="G22" s="44">
        <v>2</v>
      </c>
      <c r="O22" s="48"/>
      <c r="P22" s="48"/>
      <c r="Q22" s="48"/>
      <c r="R22" s="48"/>
      <c r="S22" s="48"/>
    </row>
    <row r="23" spans="1:19" x14ac:dyDescent="0.3">
      <c r="A23" s="42">
        <v>16</v>
      </c>
      <c r="B23" s="43" t="s">
        <v>30</v>
      </c>
      <c r="C23" s="44">
        <v>1</v>
      </c>
      <c r="D23" s="44">
        <v>1</v>
      </c>
      <c r="E23" s="44">
        <v>1</v>
      </c>
      <c r="F23" s="44">
        <v>1</v>
      </c>
      <c r="G23" s="44">
        <v>1</v>
      </c>
      <c r="O23" s="48"/>
      <c r="P23" s="48"/>
      <c r="Q23" s="48"/>
      <c r="R23" s="48"/>
      <c r="S23" s="48"/>
    </row>
    <row r="24" spans="1:19" x14ac:dyDescent="0.3">
      <c r="A24" s="46"/>
      <c r="B24" s="24"/>
      <c r="C24" s="21"/>
      <c r="D24" s="21"/>
      <c r="E24" s="21"/>
      <c r="F24" s="21"/>
      <c r="G24" s="21"/>
    </row>
  </sheetData>
  <mergeCells count="5">
    <mergeCell ref="C1:G1"/>
    <mergeCell ref="A6:A7"/>
    <mergeCell ref="A15:A18"/>
    <mergeCell ref="A19:A20"/>
    <mergeCell ref="J1:L1"/>
  </mergeCells>
  <pageMargins left="0.7" right="0.7" top="0.75" bottom="0.75" header="0.3" footer="0.3"/>
  <pageSetup paperSize="9"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C631-D743-4E63-9761-ED7ADFA27E09}">
  <sheetPr>
    <pageSetUpPr fitToPage="1"/>
  </sheetPr>
  <dimension ref="A1:N38"/>
  <sheetViews>
    <sheetView topLeftCell="A13" zoomScale="73" zoomScaleNormal="73" workbookViewId="0">
      <selection activeCell="B35" sqref="B35"/>
    </sheetView>
  </sheetViews>
  <sheetFormatPr defaultColWidth="8.77734375" defaultRowHeight="14.4" x14ac:dyDescent="0.3"/>
  <cols>
    <col min="1" max="1" width="18.77734375" bestFit="1" customWidth="1"/>
    <col min="2" max="2" width="42.109375" customWidth="1"/>
    <col min="3" max="3" width="21.77734375" bestFit="1" customWidth="1"/>
    <col min="4" max="4" width="18.21875" customWidth="1"/>
    <col min="14" max="14" width="8.109375" customWidth="1"/>
  </cols>
  <sheetData>
    <row r="1" spans="1:14" ht="15" thickBot="1" x14ac:dyDescent="0.35">
      <c r="A1" s="67" t="s">
        <v>42</v>
      </c>
      <c r="B1" s="67"/>
      <c r="C1" s="67"/>
    </row>
    <row r="2" spans="1:14" x14ac:dyDescent="0.3">
      <c r="A2" s="9" t="s">
        <v>43</v>
      </c>
      <c r="B2" s="9" t="s">
        <v>44</v>
      </c>
      <c r="C2" s="9" t="s">
        <v>45</v>
      </c>
      <c r="F2" s="37"/>
      <c r="G2" s="38"/>
      <c r="H2" s="38"/>
      <c r="I2" s="38"/>
      <c r="J2" s="38"/>
      <c r="K2" s="38"/>
      <c r="L2" s="38"/>
      <c r="M2" s="38"/>
      <c r="N2" s="39"/>
    </row>
    <row r="3" spans="1:14" x14ac:dyDescent="0.3">
      <c r="A3" s="10">
        <v>1</v>
      </c>
      <c r="B3" s="11" t="s">
        <v>46</v>
      </c>
      <c r="C3" s="12" t="s">
        <v>47</v>
      </c>
      <c r="F3" s="27"/>
      <c r="N3" s="28"/>
    </row>
    <row r="4" spans="1:14" x14ac:dyDescent="0.3">
      <c r="A4" s="7">
        <v>2</v>
      </c>
      <c r="B4" s="8" t="s">
        <v>48</v>
      </c>
      <c r="C4" t="s">
        <v>47</v>
      </c>
      <c r="F4" s="27"/>
      <c r="N4" s="28"/>
    </row>
    <row r="5" spans="1:14" x14ac:dyDescent="0.3">
      <c r="A5" s="13">
        <v>3</v>
      </c>
      <c r="B5" s="15" t="s">
        <v>49</v>
      </c>
      <c r="C5" s="15" t="s">
        <v>49</v>
      </c>
      <c r="F5" s="27"/>
      <c r="N5" s="28"/>
    </row>
    <row r="6" spans="1:14" x14ac:dyDescent="0.3">
      <c r="A6" s="71">
        <v>4</v>
      </c>
      <c r="B6" s="8" t="s">
        <v>50</v>
      </c>
      <c r="C6" t="s">
        <v>51</v>
      </c>
      <c r="F6" s="27"/>
      <c r="N6" s="28"/>
    </row>
    <row r="7" spans="1:14" x14ac:dyDescent="0.3">
      <c r="A7" s="71"/>
      <c r="B7" s="14" t="s">
        <v>52</v>
      </c>
      <c r="C7" s="15" t="s">
        <v>51</v>
      </c>
      <c r="F7" s="27"/>
      <c r="N7" s="28"/>
    </row>
    <row r="8" spans="1:14" x14ac:dyDescent="0.3">
      <c r="A8" s="7">
        <v>5</v>
      </c>
      <c r="B8" s="8" t="s">
        <v>53</v>
      </c>
      <c r="C8" t="s">
        <v>51</v>
      </c>
      <c r="F8" s="27"/>
      <c r="N8" s="28"/>
    </row>
    <row r="9" spans="1:14" x14ac:dyDescent="0.3">
      <c r="A9" s="13">
        <v>6</v>
      </c>
      <c r="B9" s="14" t="s">
        <v>54</v>
      </c>
      <c r="C9" s="15" t="s">
        <v>55</v>
      </c>
      <c r="F9" s="27"/>
      <c r="N9" s="28"/>
    </row>
    <row r="10" spans="1:14" x14ac:dyDescent="0.3">
      <c r="A10" s="7">
        <v>7</v>
      </c>
      <c r="B10" s="8" t="s">
        <v>56</v>
      </c>
      <c r="C10" t="s">
        <v>55</v>
      </c>
      <c r="F10" s="27"/>
      <c r="N10" s="28"/>
    </row>
    <row r="11" spans="1:14" x14ac:dyDescent="0.3">
      <c r="A11" s="13">
        <v>8</v>
      </c>
      <c r="B11" s="14" t="s">
        <v>57</v>
      </c>
      <c r="C11" s="15" t="s">
        <v>58</v>
      </c>
      <c r="F11" s="27"/>
      <c r="N11" s="28"/>
    </row>
    <row r="12" spans="1:14" x14ac:dyDescent="0.3">
      <c r="A12" s="7">
        <v>9</v>
      </c>
      <c r="B12" s="8" t="s">
        <v>59</v>
      </c>
      <c r="C12" t="s">
        <v>60</v>
      </c>
      <c r="F12" s="27"/>
      <c r="N12" s="28"/>
    </row>
    <row r="13" spans="1:14" x14ac:dyDescent="0.3">
      <c r="A13" s="13">
        <v>10</v>
      </c>
      <c r="B13" s="14" t="s">
        <v>61</v>
      </c>
      <c r="C13" s="15" t="s">
        <v>60</v>
      </c>
      <c r="F13" s="27"/>
      <c r="N13" s="28"/>
    </row>
    <row r="14" spans="1:14" x14ac:dyDescent="0.3">
      <c r="A14" s="7">
        <v>11</v>
      </c>
      <c r="B14" s="8" t="s">
        <v>62</v>
      </c>
      <c r="C14" t="s">
        <v>58</v>
      </c>
      <c r="F14" s="27"/>
      <c r="N14" s="28"/>
    </row>
    <row r="15" spans="1:14" x14ac:dyDescent="0.3">
      <c r="A15" s="72">
        <v>12</v>
      </c>
      <c r="B15" s="14" t="s">
        <v>63</v>
      </c>
      <c r="C15" s="15" t="s">
        <v>64</v>
      </c>
      <c r="F15" s="27"/>
      <c r="N15" s="28"/>
    </row>
    <row r="16" spans="1:14" x14ac:dyDescent="0.3">
      <c r="A16" s="72"/>
      <c r="B16" s="8" t="s">
        <v>65</v>
      </c>
      <c r="C16" t="s">
        <v>64</v>
      </c>
      <c r="F16" s="27"/>
      <c r="N16" s="28"/>
    </row>
    <row r="17" spans="1:14" x14ac:dyDescent="0.3">
      <c r="A17" s="72"/>
      <c r="B17" s="14" t="s">
        <v>66</v>
      </c>
      <c r="C17" s="15" t="s">
        <v>64</v>
      </c>
      <c r="F17" s="27"/>
      <c r="N17" s="28"/>
    </row>
    <row r="18" spans="1:14" x14ac:dyDescent="0.3">
      <c r="A18" s="72"/>
      <c r="B18" s="8" t="s">
        <v>67</v>
      </c>
      <c r="C18" t="s">
        <v>64</v>
      </c>
      <c r="F18" s="27"/>
      <c r="N18" s="28"/>
    </row>
    <row r="19" spans="1:14" x14ac:dyDescent="0.3">
      <c r="A19" s="72">
        <v>13</v>
      </c>
      <c r="B19" s="14" t="s">
        <v>68</v>
      </c>
      <c r="C19" s="15" t="s">
        <v>64</v>
      </c>
      <c r="F19" s="27"/>
      <c r="N19" s="28"/>
    </row>
    <row r="20" spans="1:14" x14ac:dyDescent="0.3">
      <c r="A20" s="72"/>
      <c r="B20" s="8" t="s">
        <v>69</v>
      </c>
      <c r="C20" t="s">
        <v>64</v>
      </c>
      <c r="F20" s="27"/>
      <c r="N20" s="28"/>
    </row>
    <row r="21" spans="1:14" x14ac:dyDescent="0.3">
      <c r="A21" s="13">
        <v>14</v>
      </c>
      <c r="B21" s="14" t="s">
        <v>70</v>
      </c>
      <c r="C21" s="15" t="s">
        <v>58</v>
      </c>
      <c r="F21" s="27"/>
      <c r="N21" s="28"/>
    </row>
    <row r="22" spans="1:14" x14ac:dyDescent="0.3">
      <c r="A22" s="7">
        <v>15</v>
      </c>
      <c r="B22" s="8" t="s">
        <v>71</v>
      </c>
      <c r="C22" t="s">
        <v>71</v>
      </c>
      <c r="F22" s="27"/>
      <c r="N22" s="28"/>
    </row>
    <row r="23" spans="1:14" x14ac:dyDescent="0.3">
      <c r="A23" s="16">
        <v>16</v>
      </c>
      <c r="B23" s="17" t="s">
        <v>72</v>
      </c>
      <c r="C23" s="6" t="s">
        <v>72</v>
      </c>
      <c r="F23" s="27"/>
      <c r="N23" s="28"/>
    </row>
    <row r="24" spans="1:14" x14ac:dyDescent="0.3">
      <c r="F24" s="27"/>
      <c r="N24" s="28"/>
    </row>
    <row r="25" spans="1:14" x14ac:dyDescent="0.3">
      <c r="F25" s="27"/>
      <c r="N25" s="28"/>
    </row>
    <row r="26" spans="1:14" x14ac:dyDescent="0.3">
      <c r="F26" s="27"/>
      <c r="N26" s="28"/>
    </row>
    <row r="27" spans="1:14" ht="15" thickBot="1" x14ac:dyDescent="0.35">
      <c r="F27" s="27"/>
      <c r="N27" s="28"/>
    </row>
    <row r="28" spans="1:14" x14ac:dyDescent="0.3">
      <c r="A28" s="68" t="s">
        <v>73</v>
      </c>
      <c r="B28" s="69"/>
      <c r="C28" s="69"/>
      <c r="D28" s="70"/>
      <c r="F28" s="27"/>
      <c r="N28" s="28"/>
    </row>
    <row r="29" spans="1:14" x14ac:dyDescent="0.3">
      <c r="A29" s="25" t="s">
        <v>45</v>
      </c>
      <c r="B29" s="1" t="s">
        <v>74</v>
      </c>
      <c r="C29" s="1" t="s">
        <v>75</v>
      </c>
      <c r="D29" s="26" t="s">
        <v>76</v>
      </c>
      <c r="F29" s="27"/>
      <c r="N29" s="28"/>
    </row>
    <row r="30" spans="1:14" x14ac:dyDescent="0.3">
      <c r="A30" s="27" t="s">
        <v>47</v>
      </c>
      <c r="B30" s="2" t="s">
        <v>77</v>
      </c>
      <c r="C30" s="31">
        <v>3</v>
      </c>
      <c r="D30" s="32">
        <v>3</v>
      </c>
      <c r="F30" s="27"/>
      <c r="N30" s="28"/>
    </row>
    <row r="31" spans="1:14" ht="28.8" x14ac:dyDescent="0.3">
      <c r="A31" s="27" t="s">
        <v>49</v>
      </c>
      <c r="B31" s="2" t="s">
        <v>78</v>
      </c>
      <c r="C31" s="31">
        <v>2</v>
      </c>
      <c r="D31" s="32">
        <v>1</v>
      </c>
      <c r="F31" s="27"/>
      <c r="N31" s="28"/>
    </row>
    <row r="32" spans="1:14" x14ac:dyDescent="0.3">
      <c r="A32" s="27" t="s">
        <v>51</v>
      </c>
      <c r="B32" s="2" t="s">
        <v>77</v>
      </c>
      <c r="C32" s="31">
        <v>3</v>
      </c>
      <c r="D32" s="32">
        <v>3</v>
      </c>
      <c r="F32" s="27"/>
      <c r="N32" s="28"/>
    </row>
    <row r="33" spans="1:14" x14ac:dyDescent="0.3">
      <c r="A33" s="27" t="s">
        <v>55</v>
      </c>
      <c r="B33" s="2" t="s">
        <v>77</v>
      </c>
      <c r="C33" s="31">
        <v>3</v>
      </c>
      <c r="D33" s="32">
        <v>3</v>
      </c>
      <c r="F33" s="27"/>
      <c r="N33" s="28"/>
    </row>
    <row r="34" spans="1:14" ht="15" thickBot="1" x14ac:dyDescent="0.35">
      <c r="A34" s="27" t="s">
        <v>60</v>
      </c>
      <c r="B34" s="2" t="s">
        <v>79</v>
      </c>
      <c r="C34" s="31">
        <v>2</v>
      </c>
      <c r="D34" s="32">
        <v>2</v>
      </c>
      <c r="F34" s="62" t="s">
        <v>42</v>
      </c>
      <c r="G34" s="63"/>
      <c r="H34" s="63"/>
      <c r="I34" s="63"/>
      <c r="J34" s="63"/>
      <c r="K34" s="63"/>
      <c r="L34" s="63"/>
      <c r="M34" s="63"/>
      <c r="N34" s="64"/>
    </row>
    <row r="35" spans="1:14" ht="86.4" x14ac:dyDescent="0.3">
      <c r="A35" s="27" t="s">
        <v>58</v>
      </c>
      <c r="B35" s="2" t="s">
        <v>80</v>
      </c>
      <c r="C35" s="31">
        <v>3</v>
      </c>
      <c r="D35" s="32">
        <v>2</v>
      </c>
    </row>
    <row r="36" spans="1:14" ht="28.8" x14ac:dyDescent="0.3">
      <c r="A36" s="27" t="s">
        <v>64</v>
      </c>
      <c r="B36" s="2" t="s">
        <v>81</v>
      </c>
      <c r="C36" s="31">
        <v>2</v>
      </c>
      <c r="D36" s="32">
        <v>2</v>
      </c>
    </row>
    <row r="37" spans="1:14" ht="28.8" x14ac:dyDescent="0.3">
      <c r="A37" s="27" t="s">
        <v>71</v>
      </c>
      <c r="B37" s="2" t="s">
        <v>82</v>
      </c>
      <c r="C37" s="31">
        <v>2</v>
      </c>
      <c r="D37" s="65">
        <v>3</v>
      </c>
    </row>
    <row r="38" spans="1:14" ht="15" thickBot="1" x14ac:dyDescent="0.35">
      <c r="A38" s="29" t="s">
        <v>72</v>
      </c>
      <c r="B38" s="30" t="s">
        <v>83</v>
      </c>
      <c r="C38" s="33">
        <v>1</v>
      </c>
      <c r="D38" s="66"/>
    </row>
  </sheetData>
  <mergeCells count="7">
    <mergeCell ref="F34:N34"/>
    <mergeCell ref="D37:D38"/>
    <mergeCell ref="A1:C1"/>
    <mergeCell ref="A28:D28"/>
    <mergeCell ref="A6:A7"/>
    <mergeCell ref="A19:A20"/>
    <mergeCell ref="A15:A18"/>
  </mergeCells>
  <pageMargins left="0.7" right="0.7" top="0.75" bottom="0.75" header="0.3" footer="0.3"/>
  <pageSetup scale="8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28FE-578E-4E2C-BBED-6FD81A40D184}">
  <dimension ref="A1:D13"/>
  <sheetViews>
    <sheetView zoomScale="70" zoomScaleNormal="70" workbookViewId="0">
      <selection activeCell="A2" sqref="A2:D2"/>
    </sheetView>
  </sheetViews>
  <sheetFormatPr defaultColWidth="8.77734375" defaultRowHeight="14.4" x14ac:dyDescent="0.3"/>
  <cols>
    <col min="1" max="1" width="21.44140625" bestFit="1" customWidth="1"/>
    <col min="2" max="2" width="30.109375" bestFit="1" customWidth="1"/>
    <col min="3" max="4" width="11.21875" bestFit="1" customWidth="1"/>
  </cols>
  <sheetData>
    <row r="1" spans="1:4" ht="15" thickBot="1" x14ac:dyDescent="0.35"/>
    <row r="2" spans="1:4" x14ac:dyDescent="0.3">
      <c r="A2" s="68" t="s">
        <v>84</v>
      </c>
      <c r="B2" s="69"/>
      <c r="C2" s="69"/>
      <c r="D2" s="70"/>
    </row>
    <row r="3" spans="1:4" x14ac:dyDescent="0.3">
      <c r="A3" s="25" t="s">
        <v>45</v>
      </c>
      <c r="B3" s="1" t="s">
        <v>85</v>
      </c>
      <c r="C3" s="1" t="s">
        <v>86</v>
      </c>
      <c r="D3" s="26" t="s">
        <v>87</v>
      </c>
    </row>
    <row r="4" spans="1:4" x14ac:dyDescent="0.3">
      <c r="A4" s="27" t="s">
        <v>49</v>
      </c>
      <c r="B4" t="s">
        <v>88</v>
      </c>
      <c r="C4">
        <v>4200</v>
      </c>
      <c r="D4" s="28">
        <v>210</v>
      </c>
    </row>
    <row r="5" spans="1:4" ht="15" thickBot="1" x14ac:dyDescent="0.35">
      <c r="A5" s="29" t="s">
        <v>71</v>
      </c>
      <c r="B5" s="34" t="s">
        <v>89</v>
      </c>
      <c r="C5" s="34">
        <v>6300</v>
      </c>
      <c r="D5" s="35">
        <v>420</v>
      </c>
    </row>
    <row r="8" spans="1:4" ht="15" thickBot="1" x14ac:dyDescent="0.35"/>
    <row r="9" spans="1:4" x14ac:dyDescent="0.3">
      <c r="A9" s="68" t="s">
        <v>90</v>
      </c>
      <c r="B9" s="69"/>
      <c r="C9" s="70"/>
    </row>
    <row r="10" spans="1:4" x14ac:dyDescent="0.3">
      <c r="A10" s="27" t="s">
        <v>85</v>
      </c>
      <c r="B10" t="s">
        <v>91</v>
      </c>
      <c r="C10" s="28" t="s">
        <v>92</v>
      </c>
    </row>
    <row r="11" spans="1:4" x14ac:dyDescent="0.3">
      <c r="A11" s="27" t="s">
        <v>57</v>
      </c>
      <c r="B11">
        <v>0.08</v>
      </c>
      <c r="C11" s="28">
        <v>0.03</v>
      </c>
    </row>
    <row r="12" spans="1:4" x14ac:dyDescent="0.3">
      <c r="A12" s="27" t="s">
        <v>62</v>
      </c>
      <c r="B12">
        <v>0.06</v>
      </c>
      <c r="C12" s="28">
        <v>0</v>
      </c>
    </row>
    <row r="13" spans="1:4" ht="15" thickBot="1" x14ac:dyDescent="0.35">
      <c r="A13" s="29" t="s">
        <v>93</v>
      </c>
      <c r="B13" s="34">
        <v>0.1</v>
      </c>
      <c r="C13" s="35">
        <v>0.03</v>
      </c>
    </row>
  </sheetData>
  <mergeCells count="2">
    <mergeCell ref="A2:D2"/>
    <mergeCell ref="A9:C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AD45-7747-41A4-B25F-908BA944D7F0}">
  <sheetPr>
    <pageSetUpPr fitToPage="1"/>
  </sheetPr>
  <dimension ref="A1:I19"/>
  <sheetViews>
    <sheetView zoomScale="80" zoomScaleNormal="80" workbookViewId="0">
      <selection activeCell="F19" sqref="F19"/>
    </sheetView>
  </sheetViews>
  <sheetFormatPr defaultColWidth="8.77734375" defaultRowHeight="14.4" x14ac:dyDescent="0.3"/>
  <cols>
    <col min="1" max="1" width="11" customWidth="1"/>
    <col min="2" max="2" width="26.44140625" customWidth="1"/>
    <col min="3" max="3" width="13.77734375" customWidth="1"/>
    <col min="4" max="4" width="16.44140625" bestFit="1" customWidth="1"/>
    <col min="5" max="8" width="12.77734375" bestFit="1" customWidth="1"/>
    <col min="17" max="17" width="12.44140625" bestFit="1" customWidth="1"/>
  </cols>
  <sheetData>
    <row r="1" spans="1:9" x14ac:dyDescent="0.3">
      <c r="C1" s="49" t="s">
        <v>94</v>
      </c>
      <c r="D1" s="73" t="s">
        <v>95</v>
      </c>
      <c r="E1" s="73"/>
      <c r="F1" s="73"/>
      <c r="G1" s="73"/>
      <c r="H1" s="73"/>
    </row>
    <row r="2" spans="1:9" x14ac:dyDescent="0.3">
      <c r="B2" t="s">
        <v>96</v>
      </c>
      <c r="C2" s="50">
        <v>2025</v>
      </c>
      <c r="D2" s="50">
        <v>2026</v>
      </c>
      <c r="E2" s="50">
        <v>2027</v>
      </c>
      <c r="F2" s="50">
        <v>2028</v>
      </c>
      <c r="G2" s="50">
        <v>2029</v>
      </c>
      <c r="H2" s="50">
        <v>2030</v>
      </c>
    </row>
    <row r="3" spans="1:9" x14ac:dyDescent="0.3">
      <c r="A3" t="s">
        <v>97</v>
      </c>
      <c r="B3" t="s">
        <v>4</v>
      </c>
      <c r="C3">
        <v>1658</v>
      </c>
      <c r="D3">
        <v>1496</v>
      </c>
      <c r="E3">
        <v>1267</v>
      </c>
      <c r="F3">
        <v>1114</v>
      </c>
      <c r="G3">
        <v>952</v>
      </c>
      <c r="H3">
        <v>816</v>
      </c>
    </row>
    <row r="4" spans="1:9" x14ac:dyDescent="0.3">
      <c r="A4" t="s">
        <v>198</v>
      </c>
      <c r="B4" t="s">
        <v>5</v>
      </c>
      <c r="C4">
        <v>1437</v>
      </c>
      <c r="D4">
        <v>1318</v>
      </c>
      <c r="E4">
        <v>1122</v>
      </c>
      <c r="F4">
        <v>986</v>
      </c>
      <c r="G4">
        <v>842</v>
      </c>
      <c r="H4">
        <v>723</v>
      </c>
    </row>
    <row r="5" spans="1:9" x14ac:dyDescent="0.3">
      <c r="B5" t="s">
        <v>6</v>
      </c>
      <c r="C5">
        <v>650</v>
      </c>
      <c r="D5">
        <v>995</v>
      </c>
      <c r="E5">
        <v>1241</v>
      </c>
      <c r="F5">
        <v>1479</v>
      </c>
      <c r="G5">
        <v>1632</v>
      </c>
      <c r="H5">
        <v>1819</v>
      </c>
    </row>
    <row r="6" spans="1:9" x14ac:dyDescent="0.3">
      <c r="B6" t="s">
        <v>7</v>
      </c>
      <c r="C6">
        <v>765</v>
      </c>
      <c r="D6">
        <v>1165</v>
      </c>
      <c r="E6">
        <v>1454</v>
      </c>
      <c r="F6">
        <v>1734</v>
      </c>
      <c r="G6">
        <v>1921</v>
      </c>
      <c r="H6">
        <v>2134</v>
      </c>
    </row>
    <row r="7" spans="1:9" x14ac:dyDescent="0.3">
      <c r="B7" t="s">
        <v>8</v>
      </c>
      <c r="C7">
        <v>0</v>
      </c>
      <c r="D7">
        <v>434</v>
      </c>
      <c r="E7">
        <v>867</v>
      </c>
      <c r="F7">
        <v>1250</v>
      </c>
      <c r="G7">
        <v>1522</v>
      </c>
      <c r="H7">
        <v>1726</v>
      </c>
    </row>
    <row r="8" spans="1:9" ht="15" thickBot="1" x14ac:dyDescent="0.35">
      <c r="A8" s="51"/>
      <c r="B8" s="51" t="s">
        <v>98</v>
      </c>
      <c r="C8" s="51">
        <f>SUM(C3:C7)</f>
        <v>4510</v>
      </c>
      <c r="D8" s="51">
        <f t="shared" ref="D8" si="0">SUM(D3:D7)</f>
        <v>5408</v>
      </c>
      <c r="E8" s="51">
        <f t="shared" ref="E8" si="1">SUM(E3:E7)</f>
        <v>5951</v>
      </c>
      <c r="F8" s="51">
        <f t="shared" ref="F8" si="2">SUM(F3:F7)</f>
        <v>6563</v>
      </c>
      <c r="G8" s="51">
        <f t="shared" ref="G8" si="3">SUM(G3:G7)</f>
        <v>6869</v>
      </c>
      <c r="H8" s="51">
        <f t="shared" ref="H8" si="4">SUM(H3:H7)</f>
        <v>7218</v>
      </c>
      <c r="I8" s="53">
        <f>SUM(C8:H8)</f>
        <v>36519</v>
      </c>
    </row>
    <row r="9" spans="1:9" ht="15" thickTop="1" x14ac:dyDescent="0.3"/>
    <row r="12" spans="1:9" x14ac:dyDescent="0.3">
      <c r="C12" t="s">
        <v>94</v>
      </c>
      <c r="D12" t="s">
        <v>95</v>
      </c>
    </row>
    <row r="13" spans="1:9" x14ac:dyDescent="0.3">
      <c r="B13" t="s">
        <v>96</v>
      </c>
      <c r="C13">
        <v>2025</v>
      </c>
      <c r="D13">
        <v>2026</v>
      </c>
      <c r="E13">
        <v>2027</v>
      </c>
      <c r="F13">
        <v>2028</v>
      </c>
      <c r="G13">
        <v>2029</v>
      </c>
      <c r="H13">
        <v>2030</v>
      </c>
    </row>
    <row r="14" spans="1:9" x14ac:dyDescent="0.3">
      <c r="B14" t="s">
        <v>4</v>
      </c>
      <c r="C14">
        <v>0.367627494</v>
      </c>
      <c r="D14">
        <v>0.27662721899999998</v>
      </c>
      <c r="E14">
        <v>0.212905394</v>
      </c>
      <c r="F14">
        <v>0.16973944799999999</v>
      </c>
      <c r="G14">
        <v>0.138593682</v>
      </c>
      <c r="H14">
        <v>0.113050707</v>
      </c>
    </row>
    <row r="15" spans="1:9" x14ac:dyDescent="0.3">
      <c r="A15" t="s">
        <v>201</v>
      </c>
      <c r="B15" t="s">
        <v>5</v>
      </c>
      <c r="C15">
        <v>0.31862527699999998</v>
      </c>
      <c r="D15">
        <v>0.243713018</v>
      </c>
      <c r="E15">
        <v>0.18853974100000001</v>
      </c>
      <c r="F15">
        <v>0.150236172</v>
      </c>
      <c r="G15">
        <v>0.122579706</v>
      </c>
      <c r="H15">
        <v>0.100166251</v>
      </c>
    </row>
    <row r="16" spans="1:9" x14ac:dyDescent="0.3">
      <c r="A16" t="s">
        <v>202</v>
      </c>
      <c r="B16" t="s">
        <v>6</v>
      </c>
      <c r="C16">
        <v>0.144124169</v>
      </c>
      <c r="D16">
        <v>0.18398668600000001</v>
      </c>
      <c r="E16">
        <v>0.20853637999999999</v>
      </c>
      <c r="F16">
        <v>0.225354259</v>
      </c>
      <c r="G16">
        <v>0.23758916899999999</v>
      </c>
      <c r="H16">
        <v>0.25200886700000003</v>
      </c>
    </row>
    <row r="17" spans="2:8" x14ac:dyDescent="0.3">
      <c r="B17" t="s">
        <v>7</v>
      </c>
      <c r="C17">
        <v>0.16962305999999999</v>
      </c>
      <c r="D17">
        <v>0.21542159799999999</v>
      </c>
      <c r="E17">
        <v>0.24432868399999999</v>
      </c>
      <c r="F17">
        <v>0.26420844100000002</v>
      </c>
      <c r="G17">
        <v>0.27966225099999997</v>
      </c>
      <c r="H17">
        <v>0.29564976399999998</v>
      </c>
    </row>
    <row r="18" spans="2:8" x14ac:dyDescent="0.3">
      <c r="B18" t="s">
        <v>8</v>
      </c>
      <c r="C18">
        <v>0</v>
      </c>
      <c r="D18">
        <v>8.0251479000000001E-2</v>
      </c>
      <c r="E18">
        <v>0.14568980000000001</v>
      </c>
      <c r="F18">
        <v>0.19046167899999999</v>
      </c>
      <c r="G18">
        <v>0.221575193</v>
      </c>
      <c r="H18">
        <v>0.23912441100000001</v>
      </c>
    </row>
    <row r="19" spans="2:8" x14ac:dyDescent="0.3">
      <c r="B19" t="s">
        <v>98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</row>
  </sheetData>
  <mergeCells count="1">
    <mergeCell ref="D1:H1"/>
  </mergeCells>
  <pageMargins left="0.7" right="0.7" top="0.75" bottom="0.75" header="0.3" footer="0.3"/>
  <pageSetup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Solutions</vt:lpstr>
      <vt:lpstr>Setup</vt:lpstr>
      <vt:lpstr>Current process</vt:lpstr>
      <vt:lpstr>Quality &amp; availability</vt:lpstr>
      <vt:lpstr>Demand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Lorenzo</dc:creator>
  <cp:keywords/>
  <dc:description/>
  <cp:lastModifiedBy>MSI</cp:lastModifiedBy>
  <cp:revision/>
  <dcterms:created xsi:type="dcterms:W3CDTF">2015-06-05T18:17:20Z</dcterms:created>
  <dcterms:modified xsi:type="dcterms:W3CDTF">2025-12-28T10:38:28Z</dcterms:modified>
  <cp:category/>
  <cp:contentStatus/>
</cp:coreProperties>
</file>